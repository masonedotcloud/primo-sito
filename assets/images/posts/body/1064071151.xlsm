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C:\Users\mason\Desktop\"/>
    </mc:Choice>
  </mc:AlternateContent>
  <xr:revisionPtr revIDLastSave="0" documentId="8_{75600CEB-E6DA-41C4-BF96-1BBEA83F65BB}" xr6:coauthVersionLast="46" xr6:coauthVersionMax="46" xr10:uidLastSave="{00000000-0000-0000-0000-000000000000}"/>
  <bookViews>
    <workbookView xWindow="-120" yWindow="-120" windowWidth="38640" windowHeight="21390" xr2:uid="{A4B0583A-79D5-4D21-A25F-5AEA6846F035}"/>
  </bookViews>
  <sheets>
    <sheet name="Interfaccia-utente" sheetId="1" r:id="rId1"/>
    <sheet name="Interfaccia-macchina" sheetId="2" r:id="rId2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2" l="1"/>
  <c r="B16" i="2"/>
  <c r="B58" i="2"/>
  <c r="B57" i="2"/>
  <c r="B56" i="2"/>
  <c r="B55" i="2"/>
  <c r="B54" i="2"/>
  <c r="B53" i="2"/>
  <c r="B52" i="2"/>
  <c r="B51" i="2"/>
  <c r="B50" i="2"/>
  <c r="B49" i="2"/>
  <c r="B4" i="2" l="1"/>
  <c r="B7" i="2" s="1"/>
  <c r="B3" i="2"/>
  <c r="B6" i="2" s="1"/>
  <c r="D11" i="2" l="1"/>
  <c r="Z36" i="1" s="1"/>
  <c r="E11" i="2"/>
  <c r="C11" i="2"/>
  <c r="B11" i="2"/>
  <c r="G11" i="2"/>
  <c r="H11" i="2"/>
  <c r="F11" i="2"/>
  <c r="C12" i="2"/>
  <c r="H12" i="2"/>
  <c r="B12" i="2"/>
  <c r="D12" i="2"/>
  <c r="G12" i="2"/>
  <c r="F12" i="2"/>
  <c r="E12" i="2"/>
  <c r="AV40" i="1" l="1"/>
  <c r="AR38" i="1"/>
  <c r="AX38" i="1"/>
  <c r="AT37" i="1"/>
  <c r="AR36" i="1"/>
  <c r="AW36" i="1"/>
  <c r="AX35" i="1"/>
  <c r="AR35" i="1"/>
  <c r="AS34" i="1"/>
  <c r="AY34" i="1"/>
  <c r="AU33" i="1"/>
  <c r="AS32" i="1"/>
  <c r="AW31" i="1"/>
  <c r="AU30" i="1"/>
  <c r="AV39" i="1"/>
  <c r="AU38" i="1"/>
  <c r="AV37" i="1"/>
  <c r="AQ36" i="1"/>
  <c r="AX36" i="1"/>
  <c r="AV35" i="1"/>
  <c r="AP34" i="1"/>
  <c r="AW34" i="1"/>
  <c r="AV33" i="1"/>
  <c r="AT32" i="1"/>
  <c r="AU31" i="1"/>
  <c r="AT40" i="1"/>
  <c r="AU34" i="1"/>
  <c r="AU32" i="1"/>
  <c r="AU40" i="1"/>
  <c r="AT38" i="1"/>
  <c r="AU37" i="1"/>
  <c r="AS36" i="1"/>
  <c r="AZ35" i="1"/>
  <c r="AQ35" i="1"/>
  <c r="AV34" i="1"/>
  <c r="AT33" i="1"/>
  <c r="AV32" i="1"/>
  <c r="AT30" i="1"/>
  <c r="AW39" i="1"/>
  <c r="AV38" i="1"/>
  <c r="AS37" i="1"/>
  <c r="AT36" i="1"/>
  <c r="AY35" i="1"/>
  <c r="AP35" i="1"/>
  <c r="AX34" i="1"/>
  <c r="AS33" i="1"/>
  <c r="AW32" i="1"/>
  <c r="AV30" i="1"/>
  <c r="AU41" i="1"/>
  <c r="AS39" i="1"/>
  <c r="AX37" i="1"/>
  <c r="AP36" i="1"/>
  <c r="AY36" i="1"/>
  <c r="AT35" i="1"/>
  <c r="AT34" i="1"/>
  <c r="AX33" i="1"/>
  <c r="AR32" i="1"/>
  <c r="AT31" i="1"/>
  <c r="AS38" i="1"/>
  <c r="AW37" i="1"/>
  <c r="AZ36" i="1"/>
  <c r="AS35" i="1"/>
  <c r="AW33" i="1"/>
  <c r="AS31" i="1"/>
  <c r="AR34" i="1"/>
  <c r="AV31" i="1"/>
  <c r="AU39" i="1"/>
  <c r="AU29" i="1"/>
  <c r="AT39" i="1"/>
  <c r="AV36" i="1"/>
  <c r="AY33" i="1"/>
  <c r="AW38" i="1"/>
  <c r="AW35" i="1"/>
  <c r="AR33" i="1"/>
  <c r="AY37" i="1"/>
  <c r="AU35" i="1"/>
  <c r="AQ33" i="1"/>
  <c r="AR37" i="1"/>
  <c r="AQ34" i="1"/>
  <c r="AX32" i="1"/>
  <c r="AQ37" i="1"/>
  <c r="AU36" i="1"/>
  <c r="AZ34" i="1"/>
  <c r="AT28" i="1"/>
  <c r="AR29" i="1"/>
  <c r="AQ27" i="1"/>
  <c r="AP31" i="1"/>
  <c r="AP25" i="1"/>
  <c r="AO27" i="1"/>
  <c r="AO33" i="1"/>
  <c r="AN28" i="1"/>
  <c r="AM24" i="1"/>
  <c r="AM29" i="1"/>
  <c r="AL31" i="1"/>
  <c r="AL25" i="1"/>
  <c r="AK29" i="1"/>
  <c r="AJ27" i="1"/>
  <c r="AR28" i="1"/>
  <c r="AQ29" i="1"/>
  <c r="AP28" i="1"/>
  <c r="AO25" i="1"/>
  <c r="AO32" i="1"/>
  <c r="AN27" i="1"/>
  <c r="AM25" i="1"/>
  <c r="AM33" i="1"/>
  <c r="AL27" i="1"/>
  <c r="AK28" i="1"/>
  <c r="AJ26" i="1"/>
  <c r="AR27" i="1"/>
  <c r="AQ30" i="1"/>
  <c r="AP27" i="1"/>
  <c r="AS27" i="1"/>
  <c r="AQ26" i="1"/>
  <c r="AP26" i="1"/>
  <c r="AO29" i="1"/>
  <c r="AN30" i="1"/>
  <c r="AM23" i="1"/>
  <c r="AM32" i="1"/>
  <c r="AL24" i="1"/>
  <c r="AJ30" i="1"/>
  <c r="AH28" i="1"/>
  <c r="AQ28" i="1"/>
  <c r="AK25" i="1"/>
  <c r="AS29" i="1"/>
  <c r="AQ31" i="1"/>
  <c r="AO23" i="1"/>
  <c r="AO31" i="1"/>
  <c r="AN26" i="1"/>
  <c r="AM27" i="1"/>
  <c r="AL30" i="1"/>
  <c r="AK26" i="1"/>
  <c r="AJ28" i="1"/>
  <c r="AQ25" i="1"/>
  <c r="AP29" i="1"/>
  <c r="AO28" i="1"/>
  <c r="AN31" i="1"/>
  <c r="AN24" i="1"/>
  <c r="AM31" i="1"/>
  <c r="AL26" i="1"/>
  <c r="AK30" i="1"/>
  <c r="AI29" i="1"/>
  <c r="AS28" i="1"/>
  <c r="AP24" i="1"/>
  <c r="AO30" i="1"/>
  <c r="AN29" i="1"/>
  <c r="AM26" i="1"/>
  <c r="AL32" i="1"/>
  <c r="AJ29" i="1"/>
  <c r="AP32" i="1"/>
  <c r="AN25" i="1"/>
  <c r="AK27" i="1"/>
  <c r="AN23" i="1"/>
  <c r="AK31" i="1"/>
  <c r="AM28" i="1"/>
  <c r="AO26" i="1"/>
  <c r="AM30" i="1"/>
  <c r="AI28" i="1"/>
  <c r="AR30" i="1"/>
  <c r="AN33" i="1"/>
  <c r="AL29" i="1"/>
  <c r="AR26" i="1"/>
  <c r="AN32" i="1"/>
  <c r="AL28" i="1"/>
  <c r="AP30" i="1"/>
  <c r="AO24" i="1"/>
  <c r="AI27" i="1"/>
  <c r="AI42" i="1"/>
  <c r="AJ40" i="1"/>
  <c r="AK44" i="1"/>
  <c r="AL42" i="1"/>
  <c r="AM38" i="1"/>
  <c r="AM44" i="1"/>
  <c r="AN45" i="1"/>
  <c r="AN39" i="1"/>
  <c r="AO40" i="1"/>
  <c r="AO46" i="1"/>
  <c r="AP42" i="1"/>
  <c r="AQ40" i="1"/>
  <c r="AR44" i="1"/>
  <c r="AS42" i="1"/>
  <c r="AI41" i="1"/>
  <c r="AK39" i="1"/>
  <c r="AL46" i="1"/>
  <c r="AL39" i="1"/>
  <c r="AM42" i="1"/>
  <c r="AN46" i="1"/>
  <c r="AN38" i="1"/>
  <c r="AO42" i="1"/>
  <c r="AP45" i="1"/>
  <c r="AP38" i="1"/>
  <c r="AQ45" i="1"/>
  <c r="AS43" i="1"/>
  <c r="AK45" i="1"/>
  <c r="AL38" i="1"/>
  <c r="AM45" i="1"/>
  <c r="AO39" i="1"/>
  <c r="AQ39" i="1"/>
  <c r="AJ41" i="1"/>
  <c r="AL45" i="1"/>
  <c r="AM37" i="1"/>
  <c r="AM46" i="1"/>
  <c r="AN41" i="1"/>
  <c r="AO41" i="1"/>
  <c r="AP44" i="1"/>
  <c r="AQ41" i="1"/>
  <c r="AR41" i="1"/>
  <c r="AH42" i="1"/>
  <c r="AK40" i="1"/>
  <c r="AL44" i="1"/>
  <c r="AM39" i="1"/>
  <c r="AM47" i="1"/>
  <c r="AN40" i="1"/>
  <c r="AO43" i="1"/>
  <c r="AP43" i="1"/>
  <c r="AQ42" i="1"/>
  <c r="AR40" i="1"/>
  <c r="AJ43" i="1"/>
  <c r="AK43" i="1"/>
  <c r="AL40" i="1"/>
  <c r="AM43" i="1"/>
  <c r="AN43" i="1"/>
  <c r="AO38" i="1"/>
  <c r="AO47" i="1"/>
  <c r="AP39" i="1"/>
  <c r="AR43" i="1"/>
  <c r="AJ42" i="1"/>
  <c r="AN42" i="1"/>
  <c r="AP46" i="1"/>
  <c r="AR42" i="1"/>
  <c r="AI43" i="1"/>
  <c r="AM40" i="1"/>
  <c r="AS41" i="1"/>
  <c r="AM41" i="1"/>
  <c r="AT42" i="1"/>
  <c r="AK41" i="1"/>
  <c r="AK42" i="1"/>
  <c r="AN44" i="1"/>
  <c r="AP40" i="1"/>
  <c r="AL43" i="1"/>
  <c r="AN37" i="1"/>
  <c r="AQ43" i="1"/>
  <c r="AL41" i="1"/>
  <c r="AO37" i="1"/>
  <c r="AQ44" i="1"/>
  <c r="AO44" i="1"/>
  <c r="AJ44" i="1"/>
  <c r="AO45" i="1"/>
  <c r="AN47" i="1"/>
  <c r="AP41" i="1"/>
  <c r="AT26" i="1"/>
  <c r="AX24" i="1"/>
  <c r="AR24" i="1"/>
  <c r="AV23" i="1"/>
  <c r="AX22" i="1"/>
  <c r="AR22" i="1"/>
  <c r="AS21" i="1"/>
  <c r="AY21" i="1"/>
  <c r="AV20" i="1"/>
  <c r="AP20" i="1"/>
  <c r="AV19" i="1"/>
  <c r="AV18" i="1"/>
  <c r="AT17" i="1"/>
  <c r="AU16" i="1"/>
  <c r="AU27" i="1"/>
  <c r="AV25" i="1"/>
  <c r="AS24" i="1"/>
  <c r="AW23" i="1"/>
  <c r="AV22" i="1"/>
  <c r="AP21" i="1"/>
  <c r="AW21" i="1"/>
  <c r="AW20" i="1"/>
  <c r="AQ19" i="1"/>
  <c r="AX19" i="1"/>
  <c r="AS18" i="1"/>
  <c r="AV16" i="1"/>
  <c r="AU24" i="1"/>
  <c r="AU22" i="1"/>
  <c r="AZ20" i="1"/>
  <c r="AW19" i="1"/>
  <c r="AU15" i="1"/>
  <c r="AT25" i="1"/>
  <c r="AT24" i="1"/>
  <c r="AX23" i="1"/>
  <c r="AT22" i="1"/>
  <c r="AT21" i="1"/>
  <c r="AY20" i="1"/>
  <c r="AQ20" i="1"/>
  <c r="AY19" i="1"/>
  <c r="AU25" i="1"/>
  <c r="AQ23" i="1"/>
  <c r="AY23" i="1"/>
  <c r="AS22" i="1"/>
  <c r="AU21" i="1"/>
  <c r="AX20" i="1"/>
  <c r="AR19" i="1"/>
  <c r="AX18" i="1"/>
  <c r="AU17" i="1"/>
  <c r="AU26" i="1"/>
  <c r="AV24" i="1"/>
  <c r="AT23" i="1"/>
  <c r="AW22" i="1"/>
  <c r="AQ21" i="1"/>
  <c r="AZ21" i="1"/>
  <c r="AS20" i="1"/>
  <c r="AU19" i="1"/>
  <c r="AT18" i="1"/>
  <c r="AT16" i="1"/>
  <c r="AS25" i="1"/>
  <c r="AU23" i="1"/>
  <c r="AR21" i="1"/>
  <c r="AR20" i="1"/>
  <c r="AR18" i="1"/>
  <c r="AR23" i="1"/>
  <c r="AX21" i="1"/>
  <c r="AU18" i="1"/>
  <c r="AU20" i="1"/>
  <c r="AS17" i="1"/>
  <c r="AV26" i="1"/>
  <c r="AY22" i="1"/>
  <c r="AT20" i="1"/>
  <c r="AV17" i="1"/>
  <c r="AW25" i="1"/>
  <c r="AQ22" i="1"/>
  <c r="AS19" i="1"/>
  <c r="AW17" i="1"/>
  <c r="AW24" i="1"/>
  <c r="AP22" i="1"/>
  <c r="AT19" i="1"/>
  <c r="AV21" i="1"/>
  <c r="AW18" i="1"/>
  <c r="AS23" i="1"/>
  <c r="AZ22" i="1"/>
  <c r="AF30" i="1"/>
  <c r="AF31" i="1"/>
  <c r="AH32" i="1"/>
  <c r="AH33" i="1"/>
  <c r="AB34" i="1"/>
  <c r="AH34" i="1"/>
  <c r="AK35" i="1"/>
  <c r="AE35" i="1"/>
  <c r="AD36" i="1"/>
  <c r="AJ36" i="1"/>
  <c r="AH37" i="1"/>
  <c r="AD38" i="1"/>
  <c r="AJ38" i="1"/>
  <c r="AF40" i="1"/>
  <c r="AH31" i="1"/>
  <c r="AG32" i="1"/>
  <c r="AG33" i="1"/>
  <c r="AD34" i="1"/>
  <c r="AK34" i="1"/>
  <c r="AG35" i="1"/>
  <c r="AC36" i="1"/>
  <c r="AK36" i="1"/>
  <c r="AF37" i="1"/>
  <c r="AG38" i="1"/>
  <c r="AF39" i="1"/>
  <c r="AH30" i="1"/>
  <c r="AF32" i="1"/>
  <c r="AF33" i="1"/>
  <c r="AF34" i="1"/>
  <c r="AB35" i="1"/>
  <c r="AI36" i="1"/>
  <c r="AE37" i="1"/>
  <c r="AI38" i="1"/>
  <c r="AH40" i="1"/>
  <c r="AI31" i="1"/>
  <c r="AE33" i="1"/>
  <c r="AI35" i="1"/>
  <c r="AL36" i="1"/>
  <c r="AD37" i="1"/>
  <c r="AI39" i="1"/>
  <c r="AG41" i="1"/>
  <c r="AG31" i="1"/>
  <c r="AJ32" i="1"/>
  <c r="AD33" i="1"/>
  <c r="AI34" i="1"/>
  <c r="AH35" i="1"/>
  <c r="AE36" i="1"/>
  <c r="AK37" i="1"/>
  <c r="AC37" i="1"/>
  <c r="AH39" i="1"/>
  <c r="AG30" i="1"/>
  <c r="AE32" i="1"/>
  <c r="AI33" i="1"/>
  <c r="AE34" i="1"/>
  <c r="AL35" i="1"/>
  <c r="AC35" i="1"/>
  <c r="AH36" i="1"/>
  <c r="AG37" i="1"/>
  <c r="AH38" i="1"/>
  <c r="AG40" i="1"/>
  <c r="AJ35" i="1"/>
  <c r="AI32" i="1"/>
  <c r="AG34" i="1"/>
  <c r="AB36" i="1"/>
  <c r="AE31" i="1"/>
  <c r="AJ34" i="1"/>
  <c r="AJ37" i="1"/>
  <c r="AD32" i="1"/>
  <c r="AI37" i="1"/>
  <c r="AK33" i="1"/>
  <c r="AJ33" i="1"/>
  <c r="AD35" i="1"/>
  <c r="AF38" i="1"/>
  <c r="AC33" i="1"/>
  <c r="AF36" i="1"/>
  <c r="AG39" i="1"/>
  <c r="AG29" i="1"/>
  <c r="AC34" i="1"/>
  <c r="AG36" i="1"/>
  <c r="AE39" i="1"/>
  <c r="AL34" i="1"/>
  <c r="AF35" i="1"/>
  <c r="AE38" i="1"/>
  <c r="AG15" i="1"/>
  <c r="AG17" i="1"/>
  <c r="AG18" i="1"/>
  <c r="AI19" i="1"/>
  <c r="AC19" i="1"/>
  <c r="AG20" i="1"/>
  <c r="AL21" i="1"/>
  <c r="AF21" i="1"/>
  <c r="AC22" i="1"/>
  <c r="AI22" i="1"/>
  <c r="AI23" i="1"/>
  <c r="AC23" i="1"/>
  <c r="AI24" i="1"/>
  <c r="AE25" i="1"/>
  <c r="AG16" i="1"/>
  <c r="AD18" i="1"/>
  <c r="AK19" i="1"/>
  <c r="AD19" i="1"/>
  <c r="AH20" i="1"/>
  <c r="AJ21" i="1"/>
  <c r="AC21" i="1"/>
  <c r="AG22" i="1"/>
  <c r="AJ23" i="1"/>
  <c r="AD24" i="1"/>
  <c r="AI25" i="1"/>
  <c r="AH26" i="1"/>
  <c r="AE17" i="1"/>
  <c r="AJ19" i="1"/>
  <c r="AC20" i="1"/>
  <c r="AK20" i="1"/>
  <c r="AE21" i="1"/>
  <c r="AF22" i="1"/>
  <c r="AH23" i="1"/>
  <c r="AF24" i="1"/>
  <c r="AF25" i="1"/>
  <c r="AH19" i="1"/>
  <c r="AL20" i="1"/>
  <c r="AH22" i="1"/>
  <c r="AG24" i="1"/>
  <c r="AH16" i="1"/>
  <c r="AF18" i="1"/>
  <c r="AG19" i="1"/>
  <c r="AE20" i="1"/>
  <c r="AK21" i="1"/>
  <c r="AB21" i="1"/>
  <c r="AJ22" i="1"/>
  <c r="AF23" i="1"/>
  <c r="AH24" i="1"/>
  <c r="AG26" i="1"/>
  <c r="AF17" i="1"/>
  <c r="AJ18" i="1"/>
  <c r="AB20" i="1"/>
  <c r="AJ20" i="1"/>
  <c r="AG21" i="1"/>
  <c r="AE22" i="1"/>
  <c r="AK23" i="1"/>
  <c r="AE24" i="1"/>
  <c r="AG25" i="1"/>
  <c r="AF16" i="1"/>
  <c r="AE18" i="1"/>
  <c r="AD20" i="1"/>
  <c r="AD21" i="1"/>
  <c r="AG23" i="1"/>
  <c r="AF26" i="1"/>
  <c r="AH18" i="1"/>
  <c r="AI21" i="1"/>
  <c r="AE23" i="1"/>
  <c r="AI18" i="1"/>
  <c r="AD23" i="1"/>
  <c r="AE19" i="1"/>
  <c r="AD22" i="1"/>
  <c r="AH25" i="1"/>
  <c r="AI17" i="1"/>
  <c r="AF20" i="1"/>
  <c r="AK22" i="1"/>
  <c r="AG27" i="1"/>
  <c r="AH17" i="1"/>
  <c r="AI20" i="1"/>
  <c r="AL22" i="1"/>
  <c r="AH21" i="1"/>
  <c r="AF19" i="1"/>
  <c r="AB22" i="1"/>
  <c r="AJ24" i="1"/>
  <c r="AM9" i="1"/>
  <c r="AR12" i="1"/>
  <c r="AQ16" i="1"/>
  <c r="AS13" i="1"/>
  <c r="AQ15" i="1"/>
  <c r="AP11" i="1"/>
  <c r="AP17" i="1"/>
  <c r="AO15" i="1"/>
  <c r="AO9" i="1"/>
  <c r="AN14" i="1"/>
  <c r="AM19" i="1"/>
  <c r="AM16" i="1"/>
  <c r="AK15" i="1"/>
  <c r="AK14" i="1"/>
  <c r="AJ13" i="1"/>
  <c r="AM11" i="1"/>
  <c r="AO14" i="1"/>
  <c r="AK17" i="1"/>
  <c r="AJ12" i="1"/>
  <c r="AS15" i="1"/>
  <c r="AQ17" i="1"/>
  <c r="AP12" i="1"/>
  <c r="AO19" i="1"/>
  <c r="AO12" i="1"/>
  <c r="AN12" i="1"/>
  <c r="AN19" i="1"/>
  <c r="AJ16" i="1"/>
  <c r="AI15" i="1"/>
  <c r="AM13" i="1"/>
  <c r="AM12" i="1"/>
  <c r="AR14" i="1"/>
  <c r="AQ12" i="1"/>
  <c r="AP15" i="1"/>
  <c r="AO16" i="1"/>
  <c r="AN9" i="1"/>
  <c r="AN16" i="1"/>
  <c r="AM17" i="1"/>
  <c r="AM15" i="1"/>
  <c r="AJ14" i="1"/>
  <c r="AI13" i="1"/>
  <c r="AK11" i="1"/>
  <c r="AR15" i="1"/>
  <c r="AQ11" i="1"/>
  <c r="AP16" i="1"/>
  <c r="AN10" i="1"/>
  <c r="AN17" i="1"/>
  <c r="AL15" i="1"/>
  <c r="AM14" i="1"/>
  <c r="AL10" i="1"/>
  <c r="AM18" i="1"/>
  <c r="AP14" i="1"/>
  <c r="AL18" i="1"/>
  <c r="AL11" i="1"/>
  <c r="AP18" i="1"/>
  <c r="AL17" i="1"/>
  <c r="AM10" i="1"/>
  <c r="AQ14" i="1"/>
  <c r="AO18" i="1"/>
  <c r="AN13" i="1"/>
  <c r="AK16" i="1"/>
  <c r="AL13" i="1"/>
  <c r="AQ13" i="1"/>
  <c r="AO17" i="1"/>
  <c r="AN15" i="1"/>
  <c r="AL16" i="1"/>
  <c r="AK13" i="1"/>
  <c r="AT14" i="1"/>
  <c r="AP10" i="1"/>
  <c r="AO13" i="1"/>
  <c r="AN18" i="1"/>
  <c r="AJ15" i="1"/>
  <c r="AK12" i="1"/>
  <c r="AS14" i="1"/>
  <c r="AP13" i="1"/>
  <c r="AO11" i="1"/>
  <c r="AH14" i="1"/>
  <c r="AL12" i="1"/>
  <c r="AR13" i="1"/>
  <c r="AO10" i="1"/>
  <c r="AI14" i="1"/>
  <c r="AR16" i="1"/>
  <c r="AN11" i="1"/>
  <c r="AL14" i="1"/>
  <c r="N9" i="1"/>
  <c r="I14" i="1"/>
  <c r="J16" i="1"/>
  <c r="J13" i="1"/>
  <c r="H14" i="1"/>
  <c r="K17" i="1"/>
  <c r="K11" i="1"/>
  <c r="L15" i="1"/>
  <c r="M17" i="1"/>
  <c r="M11" i="1"/>
  <c r="S15" i="1"/>
  <c r="Q11" i="1"/>
  <c r="Q17" i="1"/>
  <c r="P13" i="1"/>
  <c r="O11" i="1"/>
  <c r="O17" i="1"/>
  <c r="N16" i="1"/>
  <c r="N10" i="1"/>
  <c r="I15" i="1"/>
  <c r="K16" i="1"/>
  <c r="L10" i="1"/>
  <c r="L16" i="1"/>
  <c r="M16" i="1"/>
  <c r="M10" i="1"/>
  <c r="R16" i="1"/>
  <c r="Q12" i="1"/>
  <c r="P18" i="1"/>
  <c r="P12" i="1"/>
  <c r="O12" i="1"/>
  <c r="O18" i="1"/>
  <c r="N15" i="1"/>
  <c r="J12" i="1"/>
  <c r="K14" i="1"/>
  <c r="L12" i="1"/>
  <c r="L18" i="1"/>
  <c r="M14" i="1"/>
  <c r="T14" i="1"/>
  <c r="R14" i="1"/>
  <c r="Q14" i="1"/>
  <c r="P16" i="1"/>
  <c r="P10" i="1"/>
  <c r="O14" i="1"/>
  <c r="N19" i="1"/>
  <c r="N13" i="1"/>
  <c r="J14" i="1"/>
  <c r="K13" i="1"/>
  <c r="L13" i="1"/>
  <c r="M19" i="1"/>
  <c r="M13" i="1"/>
  <c r="S13" i="1"/>
  <c r="R13" i="1"/>
  <c r="Q15" i="1"/>
  <c r="P15" i="1"/>
  <c r="L14" i="1"/>
  <c r="S14" i="1"/>
  <c r="P14" i="1"/>
  <c r="O16" i="1"/>
  <c r="N11" i="1"/>
  <c r="I13" i="1"/>
  <c r="L17" i="1"/>
  <c r="R15" i="1"/>
  <c r="P11" i="1"/>
  <c r="O19" i="1"/>
  <c r="M18" i="1"/>
  <c r="O9" i="1"/>
  <c r="K15" i="1"/>
  <c r="M15" i="1"/>
  <c r="Q13" i="1"/>
  <c r="O10" i="1"/>
  <c r="N17" i="1"/>
  <c r="K12" i="1"/>
  <c r="M12" i="1"/>
  <c r="Q16" i="1"/>
  <c r="O13" i="1"/>
  <c r="N14" i="1"/>
  <c r="L11" i="1"/>
  <c r="M9" i="1"/>
  <c r="P17" i="1"/>
  <c r="O15" i="1"/>
  <c r="N12" i="1"/>
  <c r="J15" i="1"/>
  <c r="R12" i="1"/>
  <c r="N18" i="1"/>
  <c r="T28" i="1"/>
  <c r="R28" i="1"/>
  <c r="Q28" i="1"/>
  <c r="P30" i="1"/>
  <c r="P24" i="1"/>
  <c r="O28" i="1"/>
  <c r="N33" i="1"/>
  <c r="N27" i="1"/>
  <c r="M23" i="1"/>
  <c r="M30" i="1"/>
  <c r="L30" i="1"/>
  <c r="L24" i="1"/>
  <c r="K30" i="1"/>
  <c r="J26" i="1"/>
  <c r="S28" i="1"/>
  <c r="R26" i="1"/>
  <c r="Q30" i="1"/>
  <c r="P28" i="1"/>
  <c r="O24" i="1"/>
  <c r="O30" i="1"/>
  <c r="N31" i="1"/>
  <c r="N25" i="1"/>
  <c r="M26" i="1"/>
  <c r="M31" i="1"/>
  <c r="L28" i="1"/>
  <c r="K26" i="1"/>
  <c r="J30" i="1"/>
  <c r="I28" i="1"/>
  <c r="S29" i="1"/>
  <c r="Q25" i="1"/>
  <c r="Q31" i="1"/>
  <c r="P27" i="1"/>
  <c r="O25" i="1"/>
  <c r="O31" i="1"/>
  <c r="N30" i="1"/>
  <c r="N24" i="1"/>
  <c r="M27" i="1"/>
  <c r="M32" i="1"/>
  <c r="L27" i="1"/>
  <c r="K27" i="1"/>
  <c r="J29" i="1"/>
  <c r="I29" i="1"/>
  <c r="R30" i="1"/>
  <c r="Q26" i="1"/>
  <c r="P32" i="1"/>
  <c r="P26" i="1"/>
  <c r="O26" i="1"/>
  <c r="O32" i="1"/>
  <c r="N29" i="1"/>
  <c r="N23" i="1"/>
  <c r="M28" i="1"/>
  <c r="L32" i="1"/>
  <c r="L26" i="1"/>
  <c r="K28" i="1"/>
  <c r="J28" i="1"/>
  <c r="H28" i="1"/>
  <c r="R29" i="1"/>
  <c r="Q27" i="1"/>
  <c r="P31" i="1"/>
  <c r="P25" i="1"/>
  <c r="O27" i="1"/>
  <c r="O33" i="1"/>
  <c r="N28" i="1"/>
  <c r="M24" i="1"/>
  <c r="M29" i="1"/>
  <c r="L31" i="1"/>
  <c r="L25" i="1"/>
  <c r="K29" i="1"/>
  <c r="J27" i="1"/>
  <c r="Q29" i="1"/>
  <c r="M25" i="1"/>
  <c r="P29" i="1"/>
  <c r="M33" i="1"/>
  <c r="O29" i="1"/>
  <c r="K25" i="1"/>
  <c r="S27" i="1"/>
  <c r="N32" i="1"/>
  <c r="K31" i="1"/>
  <c r="N26" i="1"/>
  <c r="L29" i="1"/>
  <c r="I27" i="1"/>
  <c r="R27" i="1"/>
  <c r="O23" i="1"/>
  <c r="H26" i="1"/>
  <c r="H25" i="1"/>
  <c r="F24" i="1"/>
  <c r="F23" i="1"/>
  <c r="L22" i="1"/>
  <c r="F22" i="1"/>
  <c r="C21" i="1"/>
  <c r="I21" i="1"/>
  <c r="J20" i="1"/>
  <c r="D20" i="1"/>
  <c r="F19" i="1"/>
  <c r="J18" i="1"/>
  <c r="D18" i="1"/>
  <c r="H16" i="1"/>
  <c r="F26" i="1"/>
  <c r="J24" i="1"/>
  <c r="D24" i="1"/>
  <c r="H23" i="1"/>
  <c r="J22" i="1"/>
  <c r="D22" i="1"/>
  <c r="E21" i="1"/>
  <c r="K21" i="1"/>
  <c r="H20" i="1"/>
  <c r="B20" i="1"/>
  <c r="H19" i="1"/>
  <c r="H18" i="1"/>
  <c r="F17" i="1"/>
  <c r="F16" i="1"/>
  <c r="E25" i="1"/>
  <c r="I24" i="1"/>
  <c r="C23" i="1"/>
  <c r="I23" i="1"/>
  <c r="I22" i="1"/>
  <c r="C22" i="1"/>
  <c r="F21" i="1"/>
  <c r="L21" i="1"/>
  <c r="G20" i="1"/>
  <c r="C19" i="1"/>
  <c r="I19" i="1"/>
  <c r="G18" i="1"/>
  <c r="G17" i="1"/>
  <c r="G15" i="1"/>
  <c r="F25" i="1"/>
  <c r="H24" i="1"/>
  <c r="D23" i="1"/>
  <c r="J23" i="1"/>
  <c r="H22" i="1"/>
  <c r="B22" i="1"/>
  <c r="G21" i="1"/>
  <c r="L20" i="1"/>
  <c r="F20" i="1"/>
  <c r="D19" i="1"/>
  <c r="J19" i="1"/>
  <c r="F18" i="1"/>
  <c r="I17" i="1"/>
  <c r="G27" i="1"/>
  <c r="G25" i="1"/>
  <c r="G24" i="1"/>
  <c r="E23" i="1"/>
  <c r="K23" i="1"/>
  <c r="G22" i="1"/>
  <c r="B21" i="1"/>
  <c r="H21" i="1"/>
  <c r="K20" i="1"/>
  <c r="E20" i="1"/>
  <c r="E19" i="1"/>
  <c r="K19" i="1"/>
  <c r="E18" i="1"/>
  <c r="H17" i="1"/>
  <c r="G26" i="1"/>
  <c r="D21" i="1"/>
  <c r="E17" i="1"/>
  <c r="I25" i="1"/>
  <c r="J21" i="1"/>
  <c r="G16" i="1"/>
  <c r="G23" i="1"/>
  <c r="C20" i="1"/>
  <c r="K22" i="1"/>
  <c r="G19" i="1"/>
  <c r="I18" i="1"/>
  <c r="E24" i="1"/>
  <c r="E22" i="1"/>
  <c r="I20" i="1"/>
  <c r="T26" i="1"/>
  <c r="T25" i="1"/>
  <c r="V24" i="1"/>
  <c r="V23" i="1"/>
  <c r="P22" i="1"/>
  <c r="V22" i="1"/>
  <c r="Y21" i="1"/>
  <c r="S21" i="1"/>
  <c r="R20" i="1"/>
  <c r="X20" i="1"/>
  <c r="V19" i="1"/>
  <c r="R18" i="1"/>
  <c r="X18" i="1"/>
  <c r="T16" i="1"/>
  <c r="W25" i="1"/>
  <c r="S24" i="1"/>
  <c r="Y23" i="1"/>
  <c r="S23" i="1"/>
  <c r="S22" i="1"/>
  <c r="Y22" i="1"/>
  <c r="V21" i="1"/>
  <c r="P21" i="1"/>
  <c r="U20" i="1"/>
  <c r="Y19" i="1"/>
  <c r="S19" i="1"/>
  <c r="U18" i="1"/>
  <c r="U17" i="1"/>
  <c r="U15" i="1"/>
  <c r="U26" i="1"/>
  <c r="T24" i="1"/>
  <c r="U23" i="1"/>
  <c r="T22" i="1"/>
  <c r="X21" i="1"/>
  <c r="P20" i="1"/>
  <c r="Y20" i="1"/>
  <c r="R19" i="1"/>
  <c r="W17" i="1"/>
  <c r="V26" i="1"/>
  <c r="U24" i="1"/>
  <c r="T23" i="1"/>
  <c r="U22" i="1"/>
  <c r="W21" i="1"/>
  <c r="Q20" i="1"/>
  <c r="Z20" i="1"/>
  <c r="Q19" i="1"/>
  <c r="V17" i="1"/>
  <c r="U25" i="1"/>
  <c r="X24" i="1"/>
  <c r="Q23" i="1"/>
  <c r="X22" i="1"/>
  <c r="T21" i="1"/>
  <c r="T20" i="1"/>
  <c r="W19" i="1"/>
  <c r="T18" i="1"/>
  <c r="S17" i="1"/>
  <c r="S25" i="1"/>
  <c r="X23" i="1"/>
  <c r="Q22" i="1"/>
  <c r="Z22" i="1"/>
  <c r="R21" i="1"/>
  <c r="V20" i="1"/>
  <c r="U19" i="1"/>
  <c r="V18" i="1"/>
  <c r="U16" i="1"/>
  <c r="U27" i="1"/>
  <c r="R22" i="1"/>
  <c r="W20" i="1"/>
  <c r="V16" i="1"/>
  <c r="V25" i="1"/>
  <c r="W22" i="1"/>
  <c r="X19" i="1"/>
  <c r="T19" i="1"/>
  <c r="W24" i="1"/>
  <c r="U21" i="1"/>
  <c r="S18" i="1"/>
  <c r="W23" i="1"/>
  <c r="Q21" i="1"/>
  <c r="W18" i="1"/>
  <c r="R23" i="1"/>
  <c r="S20" i="1"/>
  <c r="T17" i="1"/>
  <c r="R24" i="1"/>
  <c r="Z21" i="1"/>
  <c r="G30" i="1"/>
  <c r="I31" i="1"/>
  <c r="E32" i="1"/>
  <c r="G33" i="1"/>
  <c r="K34" i="1"/>
  <c r="E34" i="1"/>
  <c r="D35" i="1"/>
  <c r="J35" i="1"/>
  <c r="I36" i="1"/>
  <c r="C36" i="1"/>
  <c r="G37" i="1"/>
  <c r="I38" i="1"/>
  <c r="E39" i="1"/>
  <c r="G40" i="1"/>
  <c r="E31" i="1"/>
  <c r="I32" i="1"/>
  <c r="C33" i="1"/>
  <c r="I33" i="1"/>
  <c r="I34" i="1"/>
  <c r="C34" i="1"/>
  <c r="F35" i="1"/>
  <c r="L35" i="1"/>
  <c r="G36" i="1"/>
  <c r="C37" i="1"/>
  <c r="I37" i="1"/>
  <c r="G38" i="1"/>
  <c r="G39" i="1"/>
  <c r="G41" i="1"/>
  <c r="F31" i="1"/>
  <c r="H32" i="1"/>
  <c r="D33" i="1"/>
  <c r="J33" i="1"/>
  <c r="H34" i="1"/>
  <c r="B34" i="1"/>
  <c r="G35" i="1"/>
  <c r="L36" i="1"/>
  <c r="F36" i="1"/>
  <c r="D37" i="1"/>
  <c r="J37" i="1"/>
  <c r="F38" i="1"/>
  <c r="H39" i="1"/>
  <c r="G29" i="1"/>
  <c r="G31" i="1"/>
  <c r="G32" i="1"/>
  <c r="E33" i="1"/>
  <c r="K33" i="1"/>
  <c r="G34" i="1"/>
  <c r="B35" i="1"/>
  <c r="H35" i="1"/>
  <c r="K36" i="1"/>
  <c r="E36" i="1"/>
  <c r="E37" i="1"/>
  <c r="K37" i="1"/>
  <c r="E38" i="1"/>
  <c r="I39" i="1"/>
  <c r="H30" i="1"/>
  <c r="H31" i="1"/>
  <c r="F32" i="1"/>
  <c r="F33" i="1"/>
  <c r="L34" i="1"/>
  <c r="F34" i="1"/>
  <c r="C35" i="1"/>
  <c r="I35" i="1"/>
  <c r="J36" i="1"/>
  <c r="D36" i="1"/>
  <c r="F37" i="1"/>
  <c r="J38" i="1"/>
  <c r="D38" i="1"/>
  <c r="H40" i="1"/>
  <c r="J34" i="1"/>
  <c r="H37" i="1"/>
  <c r="D34" i="1"/>
  <c r="H38" i="1"/>
  <c r="J32" i="1"/>
  <c r="K35" i="1"/>
  <c r="F40" i="1"/>
  <c r="D32" i="1"/>
  <c r="H36" i="1"/>
  <c r="F30" i="1"/>
  <c r="E35" i="1"/>
  <c r="B36" i="1"/>
  <c r="F39" i="1"/>
  <c r="H33" i="1"/>
  <c r="I43" i="1"/>
  <c r="K39" i="1"/>
  <c r="K45" i="1"/>
  <c r="L41" i="1"/>
  <c r="M39" i="1"/>
  <c r="M45" i="1"/>
  <c r="N44" i="1"/>
  <c r="N38" i="1"/>
  <c r="O41" i="1"/>
  <c r="O47" i="1"/>
  <c r="P41" i="1"/>
  <c r="Q41" i="1"/>
  <c r="R43" i="1"/>
  <c r="S43" i="1"/>
  <c r="J43" i="1"/>
  <c r="K41" i="1"/>
  <c r="L45" i="1"/>
  <c r="L39" i="1"/>
  <c r="M41" i="1"/>
  <c r="M47" i="1"/>
  <c r="N42" i="1"/>
  <c r="O37" i="1"/>
  <c r="O43" i="1"/>
  <c r="P45" i="1"/>
  <c r="P39" i="1"/>
  <c r="Q43" i="1"/>
  <c r="R41" i="1"/>
  <c r="H42" i="1"/>
  <c r="J42" i="1"/>
  <c r="I41" i="1"/>
  <c r="J41" i="1"/>
  <c r="I42" i="1"/>
  <c r="J40" i="1"/>
  <c r="K44" i="1"/>
  <c r="L42" i="1"/>
  <c r="M38" i="1"/>
  <c r="M44" i="1"/>
  <c r="N45" i="1"/>
  <c r="N39" i="1"/>
  <c r="O40" i="1"/>
  <c r="O46" i="1"/>
  <c r="P42" i="1"/>
  <c r="Q40" i="1"/>
  <c r="R44" i="1"/>
  <c r="S42" i="1"/>
  <c r="K42" i="1"/>
  <c r="L38" i="1"/>
  <c r="N47" i="1"/>
  <c r="O38" i="1"/>
  <c r="P44" i="1"/>
  <c r="Q44" i="1"/>
  <c r="K43" i="1"/>
  <c r="M37" i="1"/>
  <c r="N46" i="1"/>
  <c r="O39" i="1"/>
  <c r="P43" i="1"/>
  <c r="Q45" i="1"/>
  <c r="L44" i="1"/>
  <c r="M42" i="1"/>
  <c r="N41" i="1"/>
  <c r="O44" i="1"/>
  <c r="P38" i="1"/>
  <c r="R40" i="1"/>
  <c r="J44" i="1"/>
  <c r="L43" i="1"/>
  <c r="M43" i="1"/>
  <c r="N40" i="1"/>
  <c r="O45" i="1"/>
  <c r="Q39" i="1"/>
  <c r="S41" i="1"/>
  <c r="K40" i="1"/>
  <c r="N37" i="1"/>
  <c r="T42" i="1"/>
  <c r="L46" i="1"/>
  <c r="O42" i="1"/>
  <c r="L40" i="1"/>
  <c r="M40" i="1"/>
  <c r="P40" i="1"/>
  <c r="M46" i="1"/>
  <c r="Q42" i="1"/>
  <c r="N43" i="1"/>
  <c r="R42" i="1"/>
  <c r="P46" i="1"/>
  <c r="W39" i="1"/>
  <c r="S38" i="1"/>
  <c r="U41" i="1"/>
  <c r="U39" i="1"/>
  <c r="U38" i="1"/>
  <c r="W37" i="1"/>
  <c r="Q37" i="1"/>
  <c r="U36" i="1"/>
  <c r="Z35" i="1"/>
  <c r="T35" i="1"/>
  <c r="Q34" i="1"/>
  <c r="W34" i="1"/>
  <c r="W33" i="1"/>
  <c r="Q33" i="1"/>
  <c r="W32" i="1"/>
  <c r="S31" i="1"/>
  <c r="V40" i="1"/>
  <c r="R38" i="1"/>
  <c r="X38" i="1"/>
  <c r="T37" i="1"/>
  <c r="R36" i="1"/>
  <c r="X36" i="1"/>
  <c r="W35" i="1"/>
  <c r="Q35" i="1"/>
  <c r="T34" i="1"/>
  <c r="Z34" i="1"/>
  <c r="T33" i="1"/>
  <c r="T32" i="1"/>
  <c r="V31" i="1"/>
  <c r="V30" i="1"/>
  <c r="T40" i="1"/>
  <c r="V38" i="1"/>
  <c r="S37" i="1"/>
  <c r="V36" i="1"/>
  <c r="V35" i="1"/>
  <c r="R34" i="1"/>
  <c r="Y33" i="1"/>
  <c r="R32" i="1"/>
  <c r="U31" i="1"/>
  <c r="U40" i="1"/>
  <c r="W38" i="1"/>
  <c r="R37" i="1"/>
  <c r="W36" i="1"/>
  <c r="U35" i="1"/>
  <c r="S34" i="1"/>
  <c r="X33" i="1"/>
  <c r="S32" i="1"/>
  <c r="T31" i="1"/>
  <c r="T39" i="1"/>
  <c r="X37" i="1"/>
  <c r="Q36" i="1"/>
  <c r="R35" i="1"/>
  <c r="V34" i="1"/>
  <c r="U33" i="1"/>
  <c r="V32" i="1"/>
  <c r="U30" i="1"/>
  <c r="S39" i="1"/>
  <c r="V37" i="1"/>
  <c r="S36" i="1"/>
  <c r="Y35" i="1"/>
  <c r="P35" i="1"/>
  <c r="X34" i="1"/>
  <c r="S33" i="1"/>
  <c r="X32" i="1"/>
  <c r="U29" i="1"/>
  <c r="T36" i="1"/>
  <c r="Y34" i="1"/>
  <c r="V39" i="1"/>
  <c r="Y36" i="1"/>
  <c r="V33" i="1"/>
  <c r="T38" i="1"/>
  <c r="R33" i="1"/>
  <c r="Y37" i="1"/>
  <c r="S35" i="1"/>
  <c r="U32" i="1"/>
  <c r="U37" i="1"/>
  <c r="P34" i="1"/>
  <c r="W31" i="1"/>
  <c r="P36" i="1"/>
  <c r="U34" i="1"/>
  <c r="T30" i="1"/>
  <c r="X35" i="1"/>
</calcChain>
</file>

<file path=xl/sharedStrings.xml><?xml version="1.0" encoding="utf-8"?>
<sst xmlns="http://schemas.openxmlformats.org/spreadsheetml/2006/main" count="31" uniqueCount="24">
  <si>
    <t>c</t>
  </si>
  <si>
    <t>NUMERO</t>
  </si>
  <si>
    <t>Numero-Utente</t>
  </si>
  <si>
    <t>Valore-1</t>
  </si>
  <si>
    <t>Valore-2</t>
  </si>
  <si>
    <t>Valore-bit-cifra-1</t>
  </si>
  <si>
    <t>Valore-bit-cifra-2</t>
  </si>
  <si>
    <t>SEGMENTO</t>
  </si>
  <si>
    <t>BIT CORRISPONDENTE</t>
  </si>
  <si>
    <t>a</t>
  </si>
  <si>
    <t>b</t>
  </si>
  <si>
    <t>0100000</t>
  </si>
  <si>
    <t>0010000</t>
  </si>
  <si>
    <t>d</t>
  </si>
  <si>
    <t>0001000</t>
  </si>
  <si>
    <t>e</t>
  </si>
  <si>
    <t>0000100</t>
  </si>
  <si>
    <t>f</t>
  </si>
  <si>
    <t>0000010</t>
  </si>
  <si>
    <t>g</t>
  </si>
  <si>
    <t>0000001</t>
  </si>
  <si>
    <t>RESET</t>
  </si>
  <si>
    <t>Codice-cifra-1-bit</t>
  </si>
  <si>
    <t>Errore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</si>
</sst>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36"/>
      <name val="Calibri"/>
      <family val="2"/>
      <scheme val="minor"/>
    </font>
    <font>
      <b/>
      <sz val="36"/>
      <color theme="3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CC"/>
      </patternFill>
    </fill>
  </fills>
  <borders count="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 style="thin">
        <color indexed="64"/>
      </right>
      <top style="thin">
        <color indexed="64"/>
      </top>
      <bottom style="thick">
        <color theme="4"/>
      </bottom>
      <diagonal/>
    </border>
    <border>
      <left/>
      <right/>
      <top style="thin">
        <color indexed="64"/>
      </top>
      <bottom style="thick">
        <color theme="4"/>
      </bottom>
      <diagonal/>
    </border>
    <border>
      <left style="thin">
        <color indexed="64"/>
      </left>
      <right/>
      <top style="thin">
        <color indexed="64"/>
      </top>
      <bottom style="thick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2" fillId="0" borderId="1" applyNumberFormat="0" applyFill="0" applyAlignment="0" applyProtection="0"/>
    <xf numFmtId="0" fontId="5" fillId="2" borderId="5" applyNumberFormat="0" applyFont="0" applyAlignment="0" applyProtection="0"/>
  </cellStyleXfs>
  <cellXfs count="16">
    <xf numFmtId="0" fontId="0" fillId="0" borderId="0" xfId="0"/>
    <xf numFmtId="0" fontId="1" fillId="0" borderId="0" xfId="0" applyFont="1" applyFill="1"/>
    <xf numFmtId="0" fontId="3" fillId="0" borderId="0" xfId="0" applyFont="1" applyFill="1" applyAlignment="1"/>
    <xf numFmtId="0" fontId="0" fillId="0" borderId="0" xfId="0" applyAlignment="1">
      <alignment horizontal="right"/>
    </xf>
    <xf numFmtId="0" fontId="1" fillId="0" borderId="0" xfId="0" applyFont="1" applyFill="1" applyBorder="1"/>
    <xf numFmtId="0" fontId="0" fillId="2" borderId="6" xfId="2" applyFont="1" applyBorder="1" applyAlignment="1">
      <alignment horizontal="right"/>
    </xf>
    <xf numFmtId="0" fontId="0" fillId="2" borderId="7" xfId="2" applyFont="1" applyBorder="1" applyAlignment="1">
      <alignment horizontal="right"/>
    </xf>
    <xf numFmtId="0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1" fillId="0" borderId="0" xfId="0" applyFont="1" applyFill="1" applyAlignment="1"/>
    <xf numFmtId="0" fontId="0" fillId="0" borderId="0" xfId="0" applyBorder="1" applyAlignment="1">
      <alignment horizontal="center"/>
    </xf>
    <xf numFmtId="0" fontId="1" fillId="0" borderId="0" xfId="0" applyFont="1" applyFill="1" applyAlignment="1">
      <alignment horizontal="center"/>
    </xf>
    <xf numFmtId="0" fontId="4" fillId="0" borderId="4" xfId="1" applyFont="1" applyFill="1" applyBorder="1" applyAlignment="1">
      <alignment horizontal="center"/>
    </xf>
    <xf numFmtId="0" fontId="4" fillId="0" borderId="3" xfId="1" applyFont="1" applyFill="1" applyBorder="1" applyAlignment="1">
      <alignment horizontal="center"/>
    </xf>
    <xf numFmtId="0" fontId="4" fillId="0" borderId="2" xfId="1" applyFont="1" applyFill="1" applyBorder="1" applyAlignment="1">
      <alignment horizontal="center"/>
    </xf>
  </cellXfs>
  <cellStyles count="3">
    <cellStyle name="Normale" xfId="0" builtinId="0"/>
    <cellStyle name="Nota" xfId="2" builtinId="10"/>
    <cellStyle name="Titolo 1" xfId="1" builtinId="16"/>
  </cellStyles>
  <dxfs count="2">
    <dxf>
      <fill>
        <patternFill>
          <bgColor rgb="FFFF0000"/>
        </patternFill>
      </fill>
    </dxf>
    <dxf>
      <fill>
        <patternFill>
          <bgColor theme="1"/>
        </patternFill>
      </fill>
    </dxf>
  </dxfs>
  <tableStyles count="0" defaultTableStyle="TableStyleMedium2" defaultPivotStyle="PivotStyleLight16"/>
  <colors>
    <mruColors>
      <color rgb="FF042303"/>
      <color rgb="FF14FF20"/>
      <color rgb="FF1AFF2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114302</xdr:colOff>
      <xdr:row>0</xdr:row>
      <xdr:rowOff>428625</xdr:rowOff>
    </xdr:from>
    <xdr:to>
      <xdr:col>23</xdr:col>
      <xdr:colOff>18369</xdr:colOff>
      <xdr:row>2</xdr:row>
      <xdr:rowOff>161924</xdr:rowOff>
    </xdr:to>
    <xdr:pic macro="[0]!Reset">
      <xdr:nvPicPr>
        <xdr:cNvPr id="9" name="Immagine 8">
          <a:extLst>
            <a:ext uri="{FF2B5EF4-FFF2-40B4-BE49-F238E27FC236}">
              <a16:creationId xmlns:a16="http://schemas.microsoft.com/office/drawing/2014/main" id="{EF123DB4-9965-434F-BB41-CB4FD8A3C9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3285" y="428625"/>
          <a:ext cx="981377" cy="99454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4BBF82-0559-4C26-881B-779EEEA84361}">
  <sheetPr codeName="Foglio1"/>
  <dimension ref="B1:AZ47"/>
  <sheetViews>
    <sheetView showGridLines="0" showRowColHeaders="0" tabSelected="1" zoomScale="70" zoomScaleNormal="70" zoomScalePageLayoutView="175" workbookViewId="0">
      <selection activeCell="P4" sqref="P4:V4"/>
    </sheetView>
  </sheetViews>
  <sheetFormatPr defaultColWidth="9.140625" defaultRowHeight="15" x14ac:dyDescent="0.25"/>
  <cols>
    <col min="1" max="1" width="9.140625" style="1"/>
    <col min="2" max="13" width="1.7109375" style="1" customWidth="1"/>
    <col min="14" max="14" width="45.7109375" style="1" customWidth="1"/>
    <col min="15" max="15" width="2.7109375" style="1" customWidth="1"/>
    <col min="16" max="26" width="1.7109375" style="1" customWidth="1"/>
    <col min="27" max="27" width="9.140625" style="1"/>
    <col min="28" max="38" width="1.7109375" style="1" customWidth="1"/>
    <col min="39" max="39" width="2.7109375" style="1" customWidth="1"/>
    <col min="40" max="40" width="45.7109375" style="1" customWidth="1"/>
    <col min="41" max="41" width="2.7109375" style="1" customWidth="1"/>
    <col min="42" max="52" width="1.7109375" style="1" customWidth="1"/>
    <col min="53" max="16384" width="9.140625" style="1"/>
  </cols>
  <sheetData>
    <row r="1" spans="2:48" ht="50.1" customHeight="1" x14ac:dyDescent="0.7">
      <c r="B1" s="2"/>
      <c r="C1" s="2"/>
      <c r="D1" s="2"/>
      <c r="E1" s="2"/>
      <c r="F1" s="2"/>
      <c r="G1" s="2"/>
      <c r="H1" s="2"/>
      <c r="I1" s="2"/>
      <c r="J1" s="2"/>
      <c r="K1" s="2"/>
      <c r="L1" s="2"/>
    </row>
    <row r="2" spans="2:48" ht="50.1" customHeight="1" thickBot="1" x14ac:dyDescent="0.75">
      <c r="B2" s="13" t="s">
        <v>21</v>
      </c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5"/>
      <c r="P2" s="12"/>
      <c r="Q2" s="12"/>
      <c r="R2" s="12"/>
      <c r="S2" s="12"/>
      <c r="T2" s="12"/>
      <c r="U2" s="12"/>
      <c r="V2" s="12"/>
      <c r="AF2" s="10"/>
      <c r="AG2" s="10"/>
      <c r="AH2" s="10"/>
      <c r="AI2" s="10"/>
    </row>
    <row r="3" spans="2:48" ht="50.1" customHeight="1" thickTop="1" x14ac:dyDescent="0.7">
      <c r="B3" s="2"/>
      <c r="C3" s="2"/>
      <c r="D3" s="2"/>
      <c r="E3" s="2"/>
      <c r="F3" s="2"/>
      <c r="G3" s="2"/>
      <c r="H3" s="2"/>
      <c r="I3" s="2"/>
      <c r="J3" s="2"/>
      <c r="K3" s="2"/>
      <c r="AG3" s="10"/>
      <c r="AH3" s="10"/>
      <c r="AI3" s="10"/>
    </row>
    <row r="4" spans="2:48" ht="50.1" customHeight="1" thickBot="1" x14ac:dyDescent="0.75">
      <c r="B4" s="13" t="s">
        <v>1</v>
      </c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5"/>
      <c r="P4" s="13">
        <v>0</v>
      </c>
      <c r="Q4" s="14"/>
      <c r="R4" s="14"/>
      <c r="S4" s="14"/>
      <c r="T4" s="14"/>
      <c r="U4" s="14"/>
      <c r="V4" s="15"/>
    </row>
    <row r="5" spans="2:48" ht="15.75" thickTop="1" x14ac:dyDescent="0.25">
      <c r="P5" s="1">
        <v>45</v>
      </c>
      <c r="AG5" s="10"/>
      <c r="AH5" s="10"/>
      <c r="AI5" s="10"/>
    </row>
    <row r="6" spans="2:48" x14ac:dyDescent="0.25">
      <c r="AG6" s="10"/>
      <c r="AH6" s="10"/>
      <c r="AI6" s="10"/>
    </row>
    <row r="9" spans="2:48" ht="7.5" customHeight="1" x14ac:dyDescent="0.25">
      <c r="M9" s="1">
        <f>IF('Interfaccia-macchina'!B11="0","",1)</f>
        <v>1</v>
      </c>
      <c r="N9" s="1">
        <f>IF('Interfaccia-macchina'!B11="0","",1)</f>
        <v>1</v>
      </c>
      <c r="O9" s="1">
        <f>IF('Interfaccia-macchina'!B11="0","",1)</f>
        <v>1</v>
      </c>
      <c r="AM9" s="1">
        <f>IF('Interfaccia-macchina'!B12="0","",1)</f>
        <v>1</v>
      </c>
      <c r="AN9" s="1">
        <f>IF('Interfaccia-macchina'!B12="0","",1)</f>
        <v>1</v>
      </c>
      <c r="AO9" s="1">
        <f>IF('Interfaccia-macchina'!B12="0","",1)</f>
        <v>1</v>
      </c>
    </row>
    <row r="10" spans="2:48" ht="7.5" customHeight="1" x14ac:dyDescent="0.25">
      <c r="B10" s="4"/>
      <c r="C10" s="4"/>
      <c r="D10" s="4"/>
      <c r="E10" s="4"/>
      <c r="F10" s="4"/>
      <c r="G10" s="4"/>
      <c r="H10" s="4"/>
      <c r="I10" s="4"/>
      <c r="L10" s="1">
        <f>IF('Interfaccia-macchina'!B11="0","",1)</f>
        <v>1</v>
      </c>
      <c r="M10" s="1">
        <f>IF('Interfaccia-macchina'!B11="0","",1)</f>
        <v>1</v>
      </c>
      <c r="N10" s="1">
        <f>IF('Interfaccia-macchina'!B11="0","",1)</f>
        <v>1</v>
      </c>
      <c r="O10" s="1">
        <f>IF('Interfaccia-macchina'!B11="0","",1)</f>
        <v>1</v>
      </c>
      <c r="P10" s="1">
        <f>IF('Interfaccia-macchina'!B11="0","",1)</f>
        <v>1</v>
      </c>
      <c r="AL10" s="1">
        <f>IF('Interfaccia-macchina'!B12="0","",1)</f>
        <v>1</v>
      </c>
      <c r="AM10" s="1">
        <f>IF('Interfaccia-macchina'!B12="0","",1)</f>
        <v>1</v>
      </c>
      <c r="AN10" s="1">
        <f>IF('Interfaccia-macchina'!B12="0","",1)</f>
        <v>1</v>
      </c>
      <c r="AO10" s="1">
        <f>IF('Interfaccia-macchina'!B12="0","",1)</f>
        <v>1</v>
      </c>
      <c r="AP10" s="1">
        <f>IF('Interfaccia-macchina'!B12="0","",1)</f>
        <v>1</v>
      </c>
    </row>
    <row r="11" spans="2:48" ht="7.5" customHeight="1" x14ac:dyDescent="0.25">
      <c r="B11" s="4"/>
      <c r="C11" s="4"/>
      <c r="D11" s="4"/>
      <c r="E11" s="4"/>
      <c r="F11" s="4"/>
      <c r="G11" s="4"/>
      <c r="H11" s="4"/>
      <c r="I11" s="4"/>
      <c r="K11" s="1">
        <f>IF('Interfaccia-macchina'!B11="0","",1)</f>
        <v>1</v>
      </c>
      <c r="L11" s="1">
        <f>IF('Interfaccia-macchina'!B11="0","",1)</f>
        <v>1</v>
      </c>
      <c r="M11" s="1">
        <f>IF('Interfaccia-macchina'!B11="0","",1)</f>
        <v>1</v>
      </c>
      <c r="N11" s="1">
        <f>IF('Interfaccia-macchina'!B11="0","",1)</f>
        <v>1</v>
      </c>
      <c r="O11" s="1">
        <f>IF('Interfaccia-macchina'!B11="0","",1)</f>
        <v>1</v>
      </c>
      <c r="P11" s="1">
        <f>IF('Interfaccia-macchina'!B11="0","",1)</f>
        <v>1</v>
      </c>
      <c r="Q11" s="1">
        <f>IF('Interfaccia-macchina'!B11="0","",1)</f>
        <v>1</v>
      </c>
      <c r="AK11" s="1">
        <f>IF('Interfaccia-macchina'!B12="0","",1)</f>
        <v>1</v>
      </c>
      <c r="AL11" s="1">
        <f>IF('Interfaccia-macchina'!B12="0","",1)</f>
        <v>1</v>
      </c>
      <c r="AM11" s="1">
        <f>IF('Interfaccia-macchina'!B12="0","",1)</f>
        <v>1</v>
      </c>
      <c r="AN11" s="1">
        <f>IF('Interfaccia-macchina'!B12="0","",1)</f>
        <v>1</v>
      </c>
      <c r="AO11" s="1">
        <f>IF('Interfaccia-macchina'!B12="0","",1)</f>
        <v>1</v>
      </c>
      <c r="AP11" s="1">
        <f>IF('Interfaccia-macchina'!B12="0","",1)</f>
        <v>1</v>
      </c>
      <c r="AQ11" s="1">
        <f>IF('Interfaccia-macchina'!B12="0","",1)</f>
        <v>1</v>
      </c>
    </row>
    <row r="12" spans="2:48" ht="7.5" customHeight="1" x14ac:dyDescent="0.25">
      <c r="B12" s="4"/>
      <c r="C12" s="4"/>
      <c r="D12" s="4"/>
      <c r="E12" s="4"/>
      <c r="F12" s="4"/>
      <c r="G12" s="4"/>
      <c r="H12" s="4"/>
      <c r="I12" s="4"/>
      <c r="J12" s="1">
        <f>IF('Interfaccia-macchina'!B11="0","",1)</f>
        <v>1</v>
      </c>
      <c r="K12" s="1">
        <f>IF('Interfaccia-macchina'!B11="0","",1)</f>
        <v>1</v>
      </c>
      <c r="L12" s="1">
        <f>IF('Interfaccia-macchina'!B11="0","",1)</f>
        <v>1</v>
      </c>
      <c r="M12" s="1">
        <f>IF('Interfaccia-macchina'!B11="0","",1)</f>
        <v>1</v>
      </c>
      <c r="N12" s="1">
        <f>IF('Interfaccia-macchina'!B11="0","",1)</f>
        <v>1</v>
      </c>
      <c r="O12" s="1">
        <f>IF('Interfaccia-macchina'!B11="0","",1)</f>
        <v>1</v>
      </c>
      <c r="P12" s="1">
        <f>IF('Interfaccia-macchina'!B11="0","",1)</f>
        <v>1</v>
      </c>
      <c r="Q12" s="1">
        <f>IF('Interfaccia-macchina'!B11="0","",1)</f>
        <v>1</v>
      </c>
      <c r="R12" s="1">
        <f>IF('Interfaccia-macchina'!B11="0","",1)</f>
        <v>1</v>
      </c>
      <c r="AJ12" s="1">
        <f>IF('Interfaccia-macchina'!B12="0","",1)</f>
        <v>1</v>
      </c>
      <c r="AK12" s="1">
        <f>IF('Interfaccia-macchina'!B12="0","",1)</f>
        <v>1</v>
      </c>
      <c r="AL12" s="1">
        <f>IF('Interfaccia-macchina'!B12="0","",1)</f>
        <v>1</v>
      </c>
      <c r="AM12" s="1">
        <f>IF('Interfaccia-macchina'!B12="0","",1)</f>
        <v>1</v>
      </c>
      <c r="AN12" s="1">
        <f>IF('Interfaccia-macchina'!B12="0","",1)</f>
        <v>1</v>
      </c>
      <c r="AO12" s="1">
        <f>IF('Interfaccia-macchina'!B12="0","",1)</f>
        <v>1</v>
      </c>
      <c r="AP12" s="1">
        <f>IF('Interfaccia-macchina'!B12="0","",1)</f>
        <v>1</v>
      </c>
      <c r="AQ12" s="1">
        <f>IF('Interfaccia-macchina'!B12="0","",1)</f>
        <v>1</v>
      </c>
      <c r="AR12" s="1">
        <f>IF('Interfaccia-macchina'!B12="0","",1)</f>
        <v>1</v>
      </c>
    </row>
    <row r="13" spans="2:48" ht="7.5" customHeight="1" x14ac:dyDescent="0.25">
      <c r="B13" s="4"/>
      <c r="C13" s="4"/>
      <c r="D13" s="4"/>
      <c r="E13" s="4"/>
      <c r="F13" s="4"/>
      <c r="G13" s="4"/>
      <c r="H13" s="4"/>
      <c r="I13" s="4">
        <f>IF('Interfaccia-macchina'!B11="0","",1)</f>
        <v>1</v>
      </c>
      <c r="J13" s="1">
        <f>IF('Interfaccia-macchina'!B11="0","",1)</f>
        <v>1</v>
      </c>
      <c r="K13" s="1">
        <f>IF('Interfaccia-macchina'!B11="0","",1)</f>
        <v>1</v>
      </c>
      <c r="L13" s="1">
        <f>IF('Interfaccia-macchina'!B11="0","",1)</f>
        <v>1</v>
      </c>
      <c r="M13" s="1">
        <f>IF('Interfaccia-macchina'!B11="0","",1)</f>
        <v>1</v>
      </c>
      <c r="N13" s="1">
        <f>IF('Interfaccia-macchina'!B11="0","",1)</f>
        <v>1</v>
      </c>
      <c r="O13" s="1">
        <f>IF('Interfaccia-macchina'!B11="0","",1)</f>
        <v>1</v>
      </c>
      <c r="P13" s="1">
        <f>IF('Interfaccia-macchina'!B11="0","",1)</f>
        <v>1</v>
      </c>
      <c r="Q13" s="1">
        <f>IF('Interfaccia-macchina'!B11="0","",1)</f>
        <v>1</v>
      </c>
      <c r="R13" s="1">
        <f>IF('Interfaccia-macchina'!B11="0","",1)</f>
        <v>1</v>
      </c>
      <c r="S13" s="1">
        <f>IF('Interfaccia-macchina'!B11="0","",1)</f>
        <v>1</v>
      </c>
      <c r="AI13" s="1">
        <f>IF('Interfaccia-macchina'!B12="0","",1)</f>
        <v>1</v>
      </c>
      <c r="AJ13" s="1">
        <f>IF('Interfaccia-macchina'!B12="0","",1)</f>
        <v>1</v>
      </c>
      <c r="AK13" s="1">
        <f>IF('Interfaccia-macchina'!B12="0","",1)</f>
        <v>1</v>
      </c>
      <c r="AL13" s="1">
        <f>IF('Interfaccia-macchina'!B12="0","",1)</f>
        <v>1</v>
      </c>
      <c r="AM13" s="1">
        <f>IF('Interfaccia-macchina'!B12="0","",1)</f>
        <v>1</v>
      </c>
      <c r="AN13" s="1">
        <f>IF('Interfaccia-macchina'!B12="0","",1)</f>
        <v>1</v>
      </c>
      <c r="AO13" s="1">
        <f>IF('Interfaccia-macchina'!B12="0","",1)</f>
        <v>1</v>
      </c>
      <c r="AP13" s="1">
        <f>IF('Interfaccia-macchina'!B12="0","",1)</f>
        <v>1</v>
      </c>
      <c r="AQ13" s="1">
        <f>IF('Interfaccia-macchina'!B12="0","",1)</f>
        <v>1</v>
      </c>
      <c r="AR13" s="1">
        <f>IF('Interfaccia-macchina'!B12="0","",1)</f>
        <v>1</v>
      </c>
      <c r="AS13" s="1">
        <f>IF('Interfaccia-macchina'!B12="0","",1)</f>
        <v>1</v>
      </c>
    </row>
    <row r="14" spans="2:48" ht="7.5" customHeight="1" x14ac:dyDescent="0.25">
      <c r="B14" s="4"/>
      <c r="C14" s="4"/>
      <c r="D14" s="4"/>
      <c r="E14" s="4"/>
      <c r="F14" s="4"/>
      <c r="G14" s="4"/>
      <c r="H14" s="4">
        <f>IF('Interfaccia-macchina'!B11="0","",1)</f>
        <v>1</v>
      </c>
      <c r="I14" s="4">
        <f>IF('Interfaccia-macchina'!B11="0","",1)</f>
        <v>1</v>
      </c>
      <c r="J14" s="1">
        <f>IF('Interfaccia-macchina'!B11="0","",1)</f>
        <v>1</v>
      </c>
      <c r="K14" s="1">
        <f>IF('Interfaccia-macchina'!B11="0","",1)</f>
        <v>1</v>
      </c>
      <c r="L14" s="1">
        <f>IF('Interfaccia-macchina'!B11="0","",1)</f>
        <v>1</v>
      </c>
      <c r="M14" s="1">
        <f>IF('Interfaccia-macchina'!B11="0","",1)</f>
        <v>1</v>
      </c>
      <c r="N14" s="1">
        <f>IF('Interfaccia-macchina'!B11="0","",1)</f>
        <v>1</v>
      </c>
      <c r="O14" s="1">
        <f>IF('Interfaccia-macchina'!B11="0","",1)</f>
        <v>1</v>
      </c>
      <c r="P14" s="1">
        <f>IF('Interfaccia-macchina'!B11="0","",1)</f>
        <v>1</v>
      </c>
      <c r="Q14" s="1">
        <f>IF('Interfaccia-macchina'!B11="0","",1)</f>
        <v>1</v>
      </c>
      <c r="R14" s="1">
        <f>IF('Interfaccia-macchina'!B11="0","",1)</f>
        <v>1</v>
      </c>
      <c r="S14" s="1">
        <f>IF('Interfaccia-macchina'!B11="0","",1)</f>
        <v>1</v>
      </c>
      <c r="T14" s="1">
        <f>IF('Interfaccia-macchina'!B11="0","",1)</f>
        <v>1</v>
      </c>
      <c r="AH14" s="1">
        <f>IF('Interfaccia-macchina'!B12="0","",1)</f>
        <v>1</v>
      </c>
      <c r="AI14" s="1">
        <f>IF('Interfaccia-macchina'!B12="0","",1)</f>
        <v>1</v>
      </c>
      <c r="AJ14" s="1">
        <f>IF('Interfaccia-macchina'!B12="0","",1)</f>
        <v>1</v>
      </c>
      <c r="AK14" s="1">
        <f>IF('Interfaccia-macchina'!B12="0","",1)</f>
        <v>1</v>
      </c>
      <c r="AL14" s="1">
        <f>IF('Interfaccia-macchina'!B12="0","",1)</f>
        <v>1</v>
      </c>
      <c r="AM14" s="1">
        <f>IF('Interfaccia-macchina'!B12="0","",1)</f>
        <v>1</v>
      </c>
      <c r="AN14" s="1">
        <f>IF('Interfaccia-macchina'!B12="0","",1)</f>
        <v>1</v>
      </c>
      <c r="AO14" s="1">
        <f>IF('Interfaccia-macchina'!B12="0","",1)</f>
        <v>1</v>
      </c>
      <c r="AP14" s="1">
        <f>IF('Interfaccia-macchina'!B12="0","",1)</f>
        <v>1</v>
      </c>
      <c r="AQ14" s="1">
        <f>IF('Interfaccia-macchina'!B12="0","",1)</f>
        <v>1</v>
      </c>
      <c r="AR14" s="1">
        <f>IF('Interfaccia-macchina'!B12="0","",1)</f>
        <v>1</v>
      </c>
      <c r="AS14" s="1">
        <f>IF('Interfaccia-macchina'!B12="0","",1)</f>
        <v>1</v>
      </c>
      <c r="AT14" s="1">
        <f>IF('Interfaccia-macchina'!B12="0","",1)</f>
        <v>1</v>
      </c>
    </row>
    <row r="15" spans="2:48" ht="7.5" customHeight="1" x14ac:dyDescent="0.25">
      <c r="G15" s="1">
        <f>IF('Interfaccia-macchina'!G11="0","",1)</f>
        <v>1</v>
      </c>
      <c r="I15" s="1">
        <f>IF('Interfaccia-macchina'!B11="0","",1)</f>
        <v>1</v>
      </c>
      <c r="J15" s="1">
        <f>IF('Interfaccia-macchina'!B11="0","",1)</f>
        <v>1</v>
      </c>
      <c r="K15" s="1">
        <f>IF('Interfaccia-macchina'!B11="0","",1)</f>
        <v>1</v>
      </c>
      <c r="L15" s="1">
        <f>IF('Interfaccia-macchina'!B11="0","",1)</f>
        <v>1</v>
      </c>
      <c r="M15" s="1">
        <f>IF('Interfaccia-macchina'!B11="0","",1)</f>
        <v>1</v>
      </c>
      <c r="N15" s="1">
        <f>IF('Interfaccia-macchina'!B11="0","",1)</f>
        <v>1</v>
      </c>
      <c r="O15" s="1">
        <f>IF('Interfaccia-macchina'!B11="0","",1)</f>
        <v>1</v>
      </c>
      <c r="P15" s="1">
        <f>IF('Interfaccia-macchina'!B11="0","",1)</f>
        <v>1</v>
      </c>
      <c r="Q15" s="1">
        <f>IF('Interfaccia-macchina'!B11="0","",1)</f>
        <v>1</v>
      </c>
      <c r="R15" s="1">
        <f>IF('Interfaccia-macchina'!B11="0","",1)</f>
        <v>1</v>
      </c>
      <c r="S15" s="1">
        <f>IF('Interfaccia-macchina'!B11="0","",1)</f>
        <v>1</v>
      </c>
      <c r="U15" s="1">
        <f>IF('Interfaccia-macchina'!C11="0","",1)</f>
        <v>1</v>
      </c>
      <c r="AG15" s="1">
        <f>IF('Interfaccia-macchina'!G12="0","",1)</f>
        <v>1</v>
      </c>
      <c r="AI15" s="1">
        <f>IF('Interfaccia-macchina'!B12="0","",1)</f>
        <v>1</v>
      </c>
      <c r="AJ15" s="1">
        <f>IF('Interfaccia-macchina'!B12="0","",1)</f>
        <v>1</v>
      </c>
      <c r="AK15" s="1">
        <f>IF('Interfaccia-macchina'!B12="0","",1)</f>
        <v>1</v>
      </c>
      <c r="AL15" s="1">
        <f>IF('Interfaccia-macchina'!B12="0","",1)</f>
        <v>1</v>
      </c>
      <c r="AM15" s="1">
        <f>IF('Interfaccia-macchina'!B12="0","",1)</f>
        <v>1</v>
      </c>
      <c r="AN15" s="1">
        <f>IF('Interfaccia-macchina'!B12="0","",1)</f>
        <v>1</v>
      </c>
      <c r="AO15" s="1">
        <f>IF('Interfaccia-macchina'!B12="0","",1)</f>
        <v>1</v>
      </c>
      <c r="AP15" s="1">
        <f>IF('Interfaccia-macchina'!B12="0","",1)</f>
        <v>1</v>
      </c>
      <c r="AQ15" s="1">
        <f>IF('Interfaccia-macchina'!B12="0","",1)</f>
        <v>1</v>
      </c>
      <c r="AR15" s="1">
        <f>IF('Interfaccia-macchina'!B12="0","",1)</f>
        <v>1</v>
      </c>
      <c r="AS15" s="1">
        <f>IF('Interfaccia-macchina'!B12="0","",1)</f>
        <v>1</v>
      </c>
      <c r="AU15" s="1">
        <f>IF('Interfaccia-macchina'!C12="0","",1)</f>
        <v>1</v>
      </c>
    </row>
    <row r="16" spans="2:48" ht="7.5" customHeight="1" x14ac:dyDescent="0.25">
      <c r="F16" s="1">
        <f>IF('Interfaccia-macchina'!G11="0","",1)</f>
        <v>1</v>
      </c>
      <c r="G16" s="1">
        <f>IF('Interfaccia-macchina'!G11="0","",1)</f>
        <v>1</v>
      </c>
      <c r="H16" s="1">
        <f>IF('Interfaccia-macchina'!G11="0","",1)</f>
        <v>1</v>
      </c>
      <c r="J16" s="1">
        <f>IF('Interfaccia-macchina'!B11="0","",1)</f>
        <v>1</v>
      </c>
      <c r="K16" s="1">
        <f>IF('Interfaccia-macchina'!B11="0","",1)</f>
        <v>1</v>
      </c>
      <c r="L16" s="1">
        <f>IF('Interfaccia-macchina'!B11="0","",1)</f>
        <v>1</v>
      </c>
      <c r="M16" s="1">
        <f>IF('Interfaccia-macchina'!B11="0","",1)</f>
        <v>1</v>
      </c>
      <c r="N16" s="1">
        <f>IF('Interfaccia-macchina'!B11="0","",1)</f>
        <v>1</v>
      </c>
      <c r="O16" s="1">
        <f>IF('Interfaccia-macchina'!B11="0","",1)</f>
        <v>1</v>
      </c>
      <c r="P16" s="1">
        <f>IF('Interfaccia-macchina'!B11="0","",1)</f>
        <v>1</v>
      </c>
      <c r="Q16" s="1">
        <f>IF('Interfaccia-macchina'!B11="0","",1)</f>
        <v>1</v>
      </c>
      <c r="R16" s="1">
        <f>IF('Interfaccia-macchina'!B11="0","",1)</f>
        <v>1</v>
      </c>
      <c r="T16" s="1">
        <f>IF('Interfaccia-macchina'!C11="0","",1)</f>
        <v>1</v>
      </c>
      <c r="U16" s="1">
        <f>IF('Interfaccia-macchina'!C11="0","",1)</f>
        <v>1</v>
      </c>
      <c r="V16" s="1">
        <f>IF('Interfaccia-macchina'!C11="0","",1)</f>
        <v>1</v>
      </c>
      <c r="AF16" s="1">
        <f>IF('Interfaccia-macchina'!G12="0","",1)</f>
        <v>1</v>
      </c>
      <c r="AG16" s="1">
        <f>IF('Interfaccia-macchina'!G12="0","",1)</f>
        <v>1</v>
      </c>
      <c r="AH16" s="1">
        <f>IF('Interfaccia-macchina'!G12="0","",1)</f>
        <v>1</v>
      </c>
      <c r="AJ16" s="1">
        <f>IF('Interfaccia-macchina'!B12="0","",1)</f>
        <v>1</v>
      </c>
      <c r="AK16" s="1">
        <f>IF('Interfaccia-macchina'!B12="0","",1)</f>
        <v>1</v>
      </c>
      <c r="AL16" s="1">
        <f>IF('Interfaccia-macchina'!B12="0","",1)</f>
        <v>1</v>
      </c>
      <c r="AM16" s="1">
        <f>IF('Interfaccia-macchina'!B12="0","",1)</f>
        <v>1</v>
      </c>
      <c r="AN16" s="1">
        <f>IF('Interfaccia-macchina'!B12="0","",1)</f>
        <v>1</v>
      </c>
      <c r="AO16" s="1">
        <f>IF('Interfaccia-macchina'!B12="0","",1)</f>
        <v>1</v>
      </c>
      <c r="AP16" s="1">
        <f>IF('Interfaccia-macchina'!B12="0","",1)</f>
        <v>1</v>
      </c>
      <c r="AQ16" s="1">
        <f>IF('Interfaccia-macchina'!B12="0","",1)</f>
        <v>1</v>
      </c>
      <c r="AR16" s="1">
        <f>IF('Interfaccia-macchina'!B12="0","",1)</f>
        <v>1</v>
      </c>
      <c r="AT16" s="1">
        <f>IF('Interfaccia-macchina'!C12="0","",1)</f>
        <v>1</v>
      </c>
      <c r="AU16" s="1">
        <f>IF('Interfaccia-macchina'!C12="0","",1)</f>
        <v>1</v>
      </c>
      <c r="AV16" s="1">
        <f>IF('Interfaccia-macchina'!C12="0","",1)</f>
        <v>1</v>
      </c>
    </row>
    <row r="17" spans="2:52" ht="7.5" customHeight="1" x14ac:dyDescent="0.25">
      <c r="E17" s="1">
        <f>IF('Interfaccia-macchina'!G11="0","",1)</f>
        <v>1</v>
      </c>
      <c r="F17" s="1">
        <f>IF('Interfaccia-macchina'!G11="0","",1)</f>
        <v>1</v>
      </c>
      <c r="G17" s="1">
        <f>IF('Interfaccia-macchina'!G11="0","",1)</f>
        <v>1</v>
      </c>
      <c r="H17" s="1">
        <f>IF('Interfaccia-macchina'!G11="0","",1)</f>
        <v>1</v>
      </c>
      <c r="I17" s="1">
        <f>IF('Interfaccia-macchina'!G11="0","",1)</f>
        <v>1</v>
      </c>
      <c r="K17" s="1">
        <f>IF('Interfaccia-macchina'!B11="0","",1)</f>
        <v>1</v>
      </c>
      <c r="L17" s="1">
        <f>IF('Interfaccia-macchina'!B11="0","",1)</f>
        <v>1</v>
      </c>
      <c r="M17" s="1">
        <f>IF('Interfaccia-macchina'!B11="0","",1)</f>
        <v>1</v>
      </c>
      <c r="N17" s="1">
        <f>IF('Interfaccia-macchina'!B11="0","",1)</f>
        <v>1</v>
      </c>
      <c r="O17" s="1">
        <f>IF('Interfaccia-macchina'!B11="0","",1)</f>
        <v>1</v>
      </c>
      <c r="P17" s="1">
        <f>IF('Interfaccia-macchina'!B11="0","",1)</f>
        <v>1</v>
      </c>
      <c r="Q17" s="1">
        <f>IF('Interfaccia-macchina'!B11="0","",1)</f>
        <v>1</v>
      </c>
      <c r="S17" s="1">
        <f>IF('Interfaccia-macchina'!C11="0","",1)</f>
        <v>1</v>
      </c>
      <c r="T17" s="1">
        <f>IF('Interfaccia-macchina'!C11="0","",1)</f>
        <v>1</v>
      </c>
      <c r="U17" s="1">
        <f>IF('Interfaccia-macchina'!C11="0","",1)</f>
        <v>1</v>
      </c>
      <c r="V17" s="1">
        <f>IF('Interfaccia-macchina'!C11="0","",1)</f>
        <v>1</v>
      </c>
      <c r="W17" s="1">
        <f>IF('Interfaccia-macchina'!C11="0","",1)</f>
        <v>1</v>
      </c>
      <c r="AE17" s="1">
        <f>IF('Interfaccia-macchina'!G12="0","",1)</f>
        <v>1</v>
      </c>
      <c r="AF17" s="1">
        <f>IF('Interfaccia-macchina'!G12="0","",1)</f>
        <v>1</v>
      </c>
      <c r="AG17" s="1">
        <f>IF('Interfaccia-macchina'!G12="0","",1)</f>
        <v>1</v>
      </c>
      <c r="AH17" s="1">
        <f>IF('Interfaccia-macchina'!G12="0","",1)</f>
        <v>1</v>
      </c>
      <c r="AI17" s="1">
        <f>IF('Interfaccia-macchina'!G12="0","",1)</f>
        <v>1</v>
      </c>
      <c r="AK17" s="1">
        <f>IF('Interfaccia-macchina'!B12="0","",1)</f>
        <v>1</v>
      </c>
      <c r="AL17" s="1">
        <f>IF('Interfaccia-macchina'!B12="0","",1)</f>
        <v>1</v>
      </c>
      <c r="AM17" s="1">
        <f>IF('Interfaccia-macchina'!B12="0","",1)</f>
        <v>1</v>
      </c>
      <c r="AN17" s="1">
        <f>IF('Interfaccia-macchina'!B12="0","",1)</f>
        <v>1</v>
      </c>
      <c r="AO17" s="1">
        <f>IF('Interfaccia-macchina'!B12="0","",1)</f>
        <v>1</v>
      </c>
      <c r="AP17" s="1">
        <f>IF('Interfaccia-macchina'!B12="0","",1)</f>
        <v>1</v>
      </c>
      <c r="AQ17" s="1">
        <f>IF('Interfaccia-macchina'!B12="0","",1)</f>
        <v>1</v>
      </c>
      <c r="AS17" s="1">
        <f>IF('Interfaccia-macchina'!C12="0","",1)</f>
        <v>1</v>
      </c>
      <c r="AT17" s="1">
        <f>IF('Interfaccia-macchina'!C12="0","",1)</f>
        <v>1</v>
      </c>
      <c r="AU17" s="1">
        <f>IF('Interfaccia-macchina'!C12="0","",1)</f>
        <v>1</v>
      </c>
      <c r="AV17" s="1">
        <f>IF('Interfaccia-macchina'!C12="0","",1)</f>
        <v>1</v>
      </c>
      <c r="AW17" s="1">
        <f>IF('Interfaccia-macchina'!C12="0","",1)</f>
        <v>1</v>
      </c>
    </row>
    <row r="18" spans="2:52" ht="7.5" customHeight="1" x14ac:dyDescent="0.25">
      <c r="D18" s="1">
        <f>IF('Interfaccia-macchina'!G11="0","",1)</f>
        <v>1</v>
      </c>
      <c r="E18" s="1">
        <f>IF('Interfaccia-macchina'!G11="0","",1)</f>
        <v>1</v>
      </c>
      <c r="F18" s="1">
        <f>IF('Interfaccia-macchina'!G11="0","",1)</f>
        <v>1</v>
      </c>
      <c r="G18" s="1">
        <f>IF('Interfaccia-macchina'!G11="0","",1)</f>
        <v>1</v>
      </c>
      <c r="H18" s="1">
        <f>IF('Interfaccia-macchina'!G11="0","",1)</f>
        <v>1</v>
      </c>
      <c r="I18" s="1">
        <f>IF('Interfaccia-macchina'!G11="0","",1)</f>
        <v>1</v>
      </c>
      <c r="J18" s="1">
        <f>IF('Interfaccia-macchina'!G11="0","",1)</f>
        <v>1</v>
      </c>
      <c r="L18" s="1">
        <f>IF('Interfaccia-macchina'!B11="0","",1)</f>
        <v>1</v>
      </c>
      <c r="M18" s="1">
        <f>IF('Interfaccia-macchina'!B11="0","",1)</f>
        <v>1</v>
      </c>
      <c r="N18" s="1">
        <f>IF('Interfaccia-macchina'!B11="0","",1)</f>
        <v>1</v>
      </c>
      <c r="O18" s="1">
        <f>IF('Interfaccia-macchina'!B11="0","",1)</f>
        <v>1</v>
      </c>
      <c r="P18" s="1">
        <f>IF('Interfaccia-macchina'!B11="0","",1)</f>
        <v>1</v>
      </c>
      <c r="R18" s="1">
        <f>IF('Interfaccia-macchina'!C11="0","",1)</f>
        <v>1</v>
      </c>
      <c r="S18" s="1">
        <f>IF('Interfaccia-macchina'!C11="0","",1)</f>
        <v>1</v>
      </c>
      <c r="T18" s="1">
        <f>IF('Interfaccia-macchina'!C11="0","",1)</f>
        <v>1</v>
      </c>
      <c r="U18" s="1">
        <f>IF('Interfaccia-macchina'!C11="0","",1)</f>
        <v>1</v>
      </c>
      <c r="V18" s="1">
        <f>IF('Interfaccia-macchina'!C11="0","",1)</f>
        <v>1</v>
      </c>
      <c r="W18" s="1">
        <f>IF('Interfaccia-macchina'!C11="0","",1)</f>
        <v>1</v>
      </c>
      <c r="X18" s="1">
        <f>IF('Interfaccia-macchina'!C11="0","",1)</f>
        <v>1</v>
      </c>
      <c r="AD18" s="1">
        <f>IF('Interfaccia-macchina'!G12="0","",1)</f>
        <v>1</v>
      </c>
      <c r="AE18" s="1">
        <f>IF('Interfaccia-macchina'!G12="0","",1)</f>
        <v>1</v>
      </c>
      <c r="AF18" s="1">
        <f>IF('Interfaccia-macchina'!G12="0","",1)</f>
        <v>1</v>
      </c>
      <c r="AG18" s="1">
        <f>IF('Interfaccia-macchina'!G12="0","",1)</f>
        <v>1</v>
      </c>
      <c r="AH18" s="1">
        <f>IF('Interfaccia-macchina'!G12="0","",1)</f>
        <v>1</v>
      </c>
      <c r="AI18" s="1">
        <f>IF('Interfaccia-macchina'!G12="0","",1)</f>
        <v>1</v>
      </c>
      <c r="AJ18" s="1">
        <f>IF('Interfaccia-macchina'!G12="0","",1)</f>
        <v>1</v>
      </c>
      <c r="AL18" s="1">
        <f>IF('Interfaccia-macchina'!B12="0","",1)</f>
        <v>1</v>
      </c>
      <c r="AM18" s="1">
        <f>IF('Interfaccia-macchina'!B12="0","",1)</f>
        <v>1</v>
      </c>
      <c r="AN18" s="1">
        <f>IF('Interfaccia-macchina'!B12="0","",1)</f>
        <v>1</v>
      </c>
      <c r="AO18" s="1">
        <f>IF('Interfaccia-macchina'!B12="0","",1)</f>
        <v>1</v>
      </c>
      <c r="AP18" s="1">
        <f>IF('Interfaccia-macchina'!B12="0","",1)</f>
        <v>1</v>
      </c>
      <c r="AR18" s="1">
        <f>IF('Interfaccia-macchina'!C12="0","",1)</f>
        <v>1</v>
      </c>
      <c r="AS18" s="1">
        <f>IF('Interfaccia-macchina'!C12="0","",1)</f>
        <v>1</v>
      </c>
      <c r="AT18" s="1">
        <f>IF('Interfaccia-macchina'!C12="0","",1)</f>
        <v>1</v>
      </c>
      <c r="AU18" s="1">
        <f>IF('Interfaccia-macchina'!C12="0","",1)</f>
        <v>1</v>
      </c>
      <c r="AV18" s="1">
        <f>IF('Interfaccia-macchina'!C12="0","",1)</f>
        <v>1</v>
      </c>
      <c r="AW18" s="1">
        <f>IF('Interfaccia-macchina'!C12="0","",1)</f>
        <v>1</v>
      </c>
      <c r="AX18" s="1">
        <f>IF('Interfaccia-macchina'!C12="0","",1)</f>
        <v>1</v>
      </c>
    </row>
    <row r="19" spans="2:52" ht="7.5" customHeight="1" x14ac:dyDescent="0.25">
      <c r="C19" s="1">
        <f>IF('Interfaccia-macchina'!G11="0","",1)</f>
        <v>1</v>
      </c>
      <c r="D19" s="1">
        <f>IF('Interfaccia-macchina'!G11="0","",1)</f>
        <v>1</v>
      </c>
      <c r="E19" s="1">
        <f>IF('Interfaccia-macchina'!G11="0","",1)</f>
        <v>1</v>
      </c>
      <c r="F19" s="1">
        <f>IF('Interfaccia-macchina'!G11="0","",1)</f>
        <v>1</v>
      </c>
      <c r="G19" s="1">
        <f>IF('Interfaccia-macchina'!G11="0","",1)</f>
        <v>1</v>
      </c>
      <c r="H19" s="1">
        <f>IF('Interfaccia-macchina'!G11="0","",1)</f>
        <v>1</v>
      </c>
      <c r="I19" s="1">
        <f>IF('Interfaccia-macchina'!G11="0","",1)</f>
        <v>1</v>
      </c>
      <c r="J19" s="1">
        <f>IF('Interfaccia-macchina'!G11="0","",1)</f>
        <v>1</v>
      </c>
      <c r="K19" s="1">
        <f>IF('Interfaccia-macchina'!G11="0","",1)</f>
        <v>1</v>
      </c>
      <c r="M19" s="1">
        <f>IF('Interfaccia-macchina'!B11="0","",1)</f>
        <v>1</v>
      </c>
      <c r="N19" s="1">
        <f>IF('Interfaccia-macchina'!B11="0","",1)</f>
        <v>1</v>
      </c>
      <c r="O19" s="1">
        <f>IF('Interfaccia-macchina'!B11="0","",1)</f>
        <v>1</v>
      </c>
      <c r="Q19" s="1">
        <f>IF('Interfaccia-macchina'!C11="0","",1)</f>
        <v>1</v>
      </c>
      <c r="R19" s="1">
        <f>IF('Interfaccia-macchina'!C11="0","",1)</f>
        <v>1</v>
      </c>
      <c r="S19" s="1">
        <f>IF('Interfaccia-macchina'!C11="0","",1)</f>
        <v>1</v>
      </c>
      <c r="T19" s="1">
        <f>IF('Interfaccia-macchina'!C11="0","",1)</f>
        <v>1</v>
      </c>
      <c r="U19" s="1">
        <f>IF('Interfaccia-macchina'!C11="0","",1)</f>
        <v>1</v>
      </c>
      <c r="V19" s="1">
        <f>IF('Interfaccia-macchina'!C11="0","",1)</f>
        <v>1</v>
      </c>
      <c r="W19" s="1">
        <f>IF('Interfaccia-macchina'!C11="0","",1)</f>
        <v>1</v>
      </c>
      <c r="X19" s="1">
        <f>IF('Interfaccia-macchina'!C11="0","",1)</f>
        <v>1</v>
      </c>
      <c r="Y19" s="1">
        <f>IF('Interfaccia-macchina'!C11="0","",1)</f>
        <v>1</v>
      </c>
      <c r="AC19" s="1">
        <f>IF('Interfaccia-macchina'!G12="0","",1)</f>
        <v>1</v>
      </c>
      <c r="AD19" s="1">
        <f>IF('Interfaccia-macchina'!G12="0","",1)</f>
        <v>1</v>
      </c>
      <c r="AE19" s="1">
        <f>IF('Interfaccia-macchina'!G12="0","",1)</f>
        <v>1</v>
      </c>
      <c r="AF19" s="1">
        <f>IF('Interfaccia-macchina'!G12="0","",1)</f>
        <v>1</v>
      </c>
      <c r="AG19" s="1">
        <f>IF('Interfaccia-macchina'!G12="0","",1)</f>
        <v>1</v>
      </c>
      <c r="AH19" s="1">
        <f>IF('Interfaccia-macchina'!G12="0","",1)</f>
        <v>1</v>
      </c>
      <c r="AI19" s="1">
        <f>IF('Interfaccia-macchina'!G12="0","",1)</f>
        <v>1</v>
      </c>
      <c r="AJ19" s="1">
        <f>IF('Interfaccia-macchina'!G12="0","",1)</f>
        <v>1</v>
      </c>
      <c r="AK19" s="1">
        <f>IF('Interfaccia-macchina'!G12="0","",1)</f>
        <v>1</v>
      </c>
      <c r="AM19" s="1">
        <f>IF('Interfaccia-macchina'!B12="0","",1)</f>
        <v>1</v>
      </c>
      <c r="AN19" s="1">
        <f>IF('Interfaccia-macchina'!B12="0","",1)</f>
        <v>1</v>
      </c>
      <c r="AO19" s="1">
        <f>IF('Interfaccia-macchina'!B12="0","",1)</f>
        <v>1</v>
      </c>
      <c r="AQ19" s="1">
        <f>IF('Interfaccia-macchina'!C12="0","",1)</f>
        <v>1</v>
      </c>
      <c r="AR19" s="1">
        <f>IF('Interfaccia-macchina'!C12="0","",1)</f>
        <v>1</v>
      </c>
      <c r="AS19" s="1">
        <f>IF('Interfaccia-macchina'!C12="0","",1)</f>
        <v>1</v>
      </c>
      <c r="AT19" s="1">
        <f>IF('Interfaccia-macchina'!C12="0","",1)</f>
        <v>1</v>
      </c>
      <c r="AU19" s="1">
        <f>IF('Interfaccia-macchina'!C12="0","",1)</f>
        <v>1</v>
      </c>
      <c r="AV19" s="1">
        <f>IF('Interfaccia-macchina'!C12="0","",1)</f>
        <v>1</v>
      </c>
      <c r="AW19" s="1">
        <f>IF('Interfaccia-macchina'!C12="0","",1)</f>
        <v>1</v>
      </c>
      <c r="AX19" s="1">
        <f>IF('Interfaccia-macchina'!C12="0","",1)</f>
        <v>1</v>
      </c>
      <c r="AY19" s="1">
        <f>IF('Interfaccia-macchina'!C12="0","",1)</f>
        <v>1</v>
      </c>
    </row>
    <row r="20" spans="2:52" x14ac:dyDescent="0.25">
      <c r="B20" s="1">
        <f>IF('Interfaccia-macchina'!G11="0","",1)</f>
        <v>1</v>
      </c>
      <c r="C20" s="1">
        <f>IF('Interfaccia-macchina'!G11="0","",1)</f>
        <v>1</v>
      </c>
      <c r="D20" s="1">
        <f>IF('Interfaccia-macchina'!G11="0","",1)</f>
        <v>1</v>
      </c>
      <c r="E20" s="1">
        <f>IF('Interfaccia-macchina'!G11="0","",1)</f>
        <v>1</v>
      </c>
      <c r="F20" s="1">
        <f>IF('Interfaccia-macchina'!G11="0","",1)</f>
        <v>1</v>
      </c>
      <c r="G20" s="1">
        <f>IF('Interfaccia-macchina'!G11="0","",1)</f>
        <v>1</v>
      </c>
      <c r="H20" s="1">
        <f>IF('Interfaccia-macchina'!G11="0","",1)</f>
        <v>1</v>
      </c>
      <c r="I20" s="1">
        <f>IF('Interfaccia-macchina'!G11="0","",1)</f>
        <v>1</v>
      </c>
      <c r="J20" s="1">
        <f>IF('Interfaccia-macchina'!G11="0","",1)</f>
        <v>1</v>
      </c>
      <c r="K20" s="1">
        <f>IF('Interfaccia-macchina'!G11="0","",1)</f>
        <v>1</v>
      </c>
      <c r="L20" s="1">
        <f>IF('Interfaccia-macchina'!G11="0","",1)</f>
        <v>1</v>
      </c>
      <c r="P20" s="1">
        <f>IF('Interfaccia-macchina'!C11="0","",1)</f>
        <v>1</v>
      </c>
      <c r="Q20" s="1">
        <f>IF('Interfaccia-macchina'!C11="0","",1)</f>
        <v>1</v>
      </c>
      <c r="R20" s="1">
        <f>IF('Interfaccia-macchina'!C11="0","",1)</f>
        <v>1</v>
      </c>
      <c r="S20" s="1">
        <f>IF('Interfaccia-macchina'!C11="0","",1)</f>
        <v>1</v>
      </c>
      <c r="T20" s="1">
        <f>IF('Interfaccia-macchina'!C11="0","",1)</f>
        <v>1</v>
      </c>
      <c r="U20" s="1">
        <f>IF('Interfaccia-macchina'!C11="0","",1)</f>
        <v>1</v>
      </c>
      <c r="V20" s="1">
        <f>IF('Interfaccia-macchina'!C11="0","",1)</f>
        <v>1</v>
      </c>
      <c r="W20" s="1">
        <f>IF('Interfaccia-macchina'!C11="0","",1)</f>
        <v>1</v>
      </c>
      <c r="X20" s="1">
        <f>IF('Interfaccia-macchina'!C11="0","",1)</f>
        <v>1</v>
      </c>
      <c r="Y20" s="1">
        <f>IF('Interfaccia-macchina'!C11="0","",1)</f>
        <v>1</v>
      </c>
      <c r="Z20" s="1">
        <f>IF('Interfaccia-macchina'!C11="0","",1)</f>
        <v>1</v>
      </c>
      <c r="AB20" s="1">
        <f>IF('Interfaccia-macchina'!G12="0","",1)</f>
        <v>1</v>
      </c>
      <c r="AC20" s="1">
        <f>IF('Interfaccia-macchina'!G12="0","",1)</f>
        <v>1</v>
      </c>
      <c r="AD20" s="1">
        <f>IF('Interfaccia-macchina'!G12="0","",1)</f>
        <v>1</v>
      </c>
      <c r="AE20" s="1">
        <f>IF('Interfaccia-macchina'!G12="0","",1)</f>
        <v>1</v>
      </c>
      <c r="AF20" s="1">
        <f>IF('Interfaccia-macchina'!G12="0","",1)</f>
        <v>1</v>
      </c>
      <c r="AG20" s="1">
        <f>IF('Interfaccia-macchina'!G12="0","",1)</f>
        <v>1</v>
      </c>
      <c r="AH20" s="1">
        <f>IF('Interfaccia-macchina'!G12="0","",1)</f>
        <v>1</v>
      </c>
      <c r="AI20" s="1">
        <f>IF('Interfaccia-macchina'!G12="0","",1)</f>
        <v>1</v>
      </c>
      <c r="AJ20" s="1">
        <f>IF('Interfaccia-macchina'!G12="0","",1)</f>
        <v>1</v>
      </c>
      <c r="AK20" s="1">
        <f>IF('Interfaccia-macchina'!G12="0","",1)</f>
        <v>1</v>
      </c>
      <c r="AL20" s="1">
        <f>IF('Interfaccia-macchina'!G12="0","",1)</f>
        <v>1</v>
      </c>
      <c r="AP20" s="1">
        <f>IF('Interfaccia-macchina'!C12="0","",1)</f>
        <v>1</v>
      </c>
      <c r="AQ20" s="1">
        <f>IF('Interfaccia-macchina'!C12="0","",1)</f>
        <v>1</v>
      </c>
      <c r="AR20" s="1">
        <f>IF('Interfaccia-macchina'!C12="0","",1)</f>
        <v>1</v>
      </c>
      <c r="AS20" s="1">
        <f>IF('Interfaccia-macchina'!C12="0","",1)</f>
        <v>1</v>
      </c>
      <c r="AT20" s="1">
        <f>IF('Interfaccia-macchina'!C12="0","",1)</f>
        <v>1</v>
      </c>
      <c r="AU20" s="1">
        <f>IF('Interfaccia-macchina'!C12="0","",1)</f>
        <v>1</v>
      </c>
      <c r="AV20" s="1">
        <f>IF('Interfaccia-macchina'!C12="0","",1)</f>
        <v>1</v>
      </c>
      <c r="AW20" s="1">
        <f>IF('Interfaccia-macchina'!C12="0","",1)</f>
        <v>1</v>
      </c>
      <c r="AX20" s="1">
        <f>IF('Interfaccia-macchina'!C12="0","",1)</f>
        <v>1</v>
      </c>
      <c r="AY20" s="1">
        <f>IF('Interfaccia-macchina'!C12="0","",1)</f>
        <v>1</v>
      </c>
      <c r="AZ20" s="1">
        <f>IF('Interfaccia-macchina'!C12="0","",1)</f>
        <v>1</v>
      </c>
    </row>
    <row r="21" spans="2:52" ht="204.6" customHeight="1" x14ac:dyDescent="0.25">
      <c r="B21" s="1">
        <f>IF('Interfaccia-macchina'!G11="0","",1)</f>
        <v>1</v>
      </c>
      <c r="C21" s="1">
        <f>IF('Interfaccia-macchina'!G11="0","",1)</f>
        <v>1</v>
      </c>
      <c r="D21" s="1">
        <f>IF('Interfaccia-macchina'!G11="0","",1)</f>
        <v>1</v>
      </c>
      <c r="E21" s="1">
        <f>IF('Interfaccia-macchina'!G11="0","",1)</f>
        <v>1</v>
      </c>
      <c r="F21" s="1">
        <f>IF('Interfaccia-macchina'!G11="0","",1)</f>
        <v>1</v>
      </c>
      <c r="G21" s="1">
        <f>IF('Interfaccia-macchina'!G11="0","",1)</f>
        <v>1</v>
      </c>
      <c r="H21" s="1">
        <f>IF('Interfaccia-macchina'!G11="0","",1)</f>
        <v>1</v>
      </c>
      <c r="I21" s="1">
        <f>IF('Interfaccia-macchina'!G11="0","",1)</f>
        <v>1</v>
      </c>
      <c r="J21" s="1">
        <f>IF('Interfaccia-macchina'!G11="0","",1)</f>
        <v>1</v>
      </c>
      <c r="K21" s="1">
        <f>IF('Interfaccia-macchina'!G11="0","",1)</f>
        <v>1</v>
      </c>
      <c r="L21" s="1">
        <f>IF('Interfaccia-macchina'!G11="0","",1)</f>
        <v>1</v>
      </c>
      <c r="P21" s="1">
        <f>IF('Interfaccia-macchina'!C11="0","",1)</f>
        <v>1</v>
      </c>
      <c r="Q21" s="1">
        <f>IF('Interfaccia-macchina'!C11="0","",1)</f>
        <v>1</v>
      </c>
      <c r="R21" s="1">
        <f>IF('Interfaccia-macchina'!C11="0","",1)</f>
        <v>1</v>
      </c>
      <c r="S21" s="1">
        <f>IF('Interfaccia-macchina'!C11="0","",1)</f>
        <v>1</v>
      </c>
      <c r="T21" s="1">
        <f>IF('Interfaccia-macchina'!C11="0","",1)</f>
        <v>1</v>
      </c>
      <c r="U21" s="1">
        <f>IF('Interfaccia-macchina'!C11="0","",1)</f>
        <v>1</v>
      </c>
      <c r="V21" s="1">
        <f>IF('Interfaccia-macchina'!C11="0","",1)</f>
        <v>1</v>
      </c>
      <c r="W21" s="1">
        <f>IF('Interfaccia-macchina'!C11="0","",1)</f>
        <v>1</v>
      </c>
      <c r="X21" s="1">
        <f>IF('Interfaccia-macchina'!C11="0","",1)</f>
        <v>1</v>
      </c>
      <c r="Y21" s="1">
        <f>IF('Interfaccia-macchina'!C11="0","",1)</f>
        <v>1</v>
      </c>
      <c r="Z21" s="1">
        <f>IF('Interfaccia-macchina'!C11="0","",1)</f>
        <v>1</v>
      </c>
      <c r="AB21" s="1">
        <f>IF('Interfaccia-macchina'!G12="0","",1)</f>
        <v>1</v>
      </c>
      <c r="AC21" s="1">
        <f>IF('Interfaccia-macchina'!G12="0","",1)</f>
        <v>1</v>
      </c>
      <c r="AD21" s="1">
        <f>IF('Interfaccia-macchina'!G12="0","",1)</f>
        <v>1</v>
      </c>
      <c r="AE21" s="1">
        <f>IF('Interfaccia-macchina'!G12="0","",1)</f>
        <v>1</v>
      </c>
      <c r="AF21" s="1">
        <f>IF('Interfaccia-macchina'!G12="0","",1)</f>
        <v>1</v>
      </c>
      <c r="AG21" s="1">
        <f>IF('Interfaccia-macchina'!G12="0","",1)</f>
        <v>1</v>
      </c>
      <c r="AH21" s="1">
        <f>IF('Interfaccia-macchina'!G12="0","",1)</f>
        <v>1</v>
      </c>
      <c r="AI21" s="1">
        <f>IF('Interfaccia-macchina'!G12="0","",1)</f>
        <v>1</v>
      </c>
      <c r="AJ21" s="1">
        <f>IF('Interfaccia-macchina'!G12="0","",1)</f>
        <v>1</v>
      </c>
      <c r="AK21" s="1">
        <f>IF('Interfaccia-macchina'!G12="0","",1)</f>
        <v>1</v>
      </c>
      <c r="AL21" s="1">
        <f>IF('Interfaccia-macchina'!G12="0","",1)</f>
        <v>1</v>
      </c>
      <c r="AP21" s="1">
        <f>IF('Interfaccia-macchina'!C12="0","",1)</f>
        <v>1</v>
      </c>
      <c r="AQ21" s="1">
        <f>IF('Interfaccia-macchina'!C12="0","",1)</f>
        <v>1</v>
      </c>
      <c r="AR21" s="1">
        <f>IF('Interfaccia-macchina'!C12="0","",1)</f>
        <v>1</v>
      </c>
      <c r="AS21" s="1">
        <f>IF('Interfaccia-macchina'!C12="0","",1)</f>
        <v>1</v>
      </c>
      <c r="AT21" s="1">
        <f>IF('Interfaccia-macchina'!C12="0","",1)</f>
        <v>1</v>
      </c>
      <c r="AU21" s="1">
        <f>IF('Interfaccia-macchina'!C12="0","",1)</f>
        <v>1</v>
      </c>
      <c r="AV21" s="1">
        <f>IF('Interfaccia-macchina'!C12="0","",1)</f>
        <v>1</v>
      </c>
      <c r="AW21" s="1">
        <f>IF('Interfaccia-macchina'!C12="0","",1)</f>
        <v>1</v>
      </c>
      <c r="AX21" s="1">
        <f>IF('Interfaccia-macchina'!C12="0","",1)</f>
        <v>1</v>
      </c>
      <c r="AY21" s="1">
        <f>IF('Interfaccia-macchina'!C12="0","",1)</f>
        <v>1</v>
      </c>
      <c r="AZ21" s="1">
        <f>IF('Interfaccia-macchina'!C12="0","",1)</f>
        <v>1</v>
      </c>
    </row>
    <row r="22" spans="2:52" ht="15" customHeight="1" x14ac:dyDescent="0.25">
      <c r="B22" s="1">
        <f>IF('Interfaccia-macchina'!G11="0","",1)</f>
        <v>1</v>
      </c>
      <c r="C22" s="1">
        <f>IF('Interfaccia-macchina'!G11="0","",1)</f>
        <v>1</v>
      </c>
      <c r="D22" s="1">
        <f>IF('Interfaccia-macchina'!G11="0","",1)</f>
        <v>1</v>
      </c>
      <c r="E22" s="1">
        <f>IF('Interfaccia-macchina'!G11="0","",1)</f>
        <v>1</v>
      </c>
      <c r="F22" s="1">
        <f>IF('Interfaccia-macchina'!G11="0","",1)</f>
        <v>1</v>
      </c>
      <c r="G22" s="1">
        <f>IF('Interfaccia-macchina'!G11="0","",1)</f>
        <v>1</v>
      </c>
      <c r="H22" s="1">
        <f>IF('Interfaccia-macchina'!G11="0","",1)</f>
        <v>1</v>
      </c>
      <c r="I22" s="1">
        <f>IF('Interfaccia-macchina'!G11="0","",1)</f>
        <v>1</v>
      </c>
      <c r="J22" s="1">
        <f>IF('Interfaccia-macchina'!G11="0","",1)</f>
        <v>1</v>
      </c>
      <c r="K22" s="1">
        <f>IF('Interfaccia-macchina'!G11="0","",1)</f>
        <v>1</v>
      </c>
      <c r="L22" s="1">
        <f>IF('Interfaccia-macchina'!G11="0","",1)</f>
        <v>1</v>
      </c>
      <c r="P22" s="1">
        <f>IF('Interfaccia-macchina'!C11="0","",1)</f>
        <v>1</v>
      </c>
      <c r="Q22" s="1">
        <f>IF('Interfaccia-macchina'!C11="0","",1)</f>
        <v>1</v>
      </c>
      <c r="R22" s="1">
        <f>IF('Interfaccia-macchina'!C11="0","",1)</f>
        <v>1</v>
      </c>
      <c r="S22" s="1">
        <f>IF('Interfaccia-macchina'!C11="0","",1)</f>
        <v>1</v>
      </c>
      <c r="T22" s="1">
        <f>IF('Interfaccia-macchina'!C11="0","",1)</f>
        <v>1</v>
      </c>
      <c r="U22" s="1">
        <f>IF('Interfaccia-macchina'!C11="0","",1)</f>
        <v>1</v>
      </c>
      <c r="V22" s="1">
        <f>IF('Interfaccia-macchina'!C11="0","",1)</f>
        <v>1</v>
      </c>
      <c r="W22" s="1">
        <f>IF('Interfaccia-macchina'!C11="0","",1)</f>
        <v>1</v>
      </c>
      <c r="X22" s="1">
        <f>IF('Interfaccia-macchina'!C11="0","",1)</f>
        <v>1</v>
      </c>
      <c r="Y22" s="1">
        <f>IF('Interfaccia-macchina'!C11="0","",1)</f>
        <v>1</v>
      </c>
      <c r="Z22" s="1">
        <f>IF('Interfaccia-macchina'!C11="0","",1)</f>
        <v>1</v>
      </c>
      <c r="AB22" s="1">
        <f>IF('Interfaccia-macchina'!G12="0","",1)</f>
        <v>1</v>
      </c>
      <c r="AC22" s="1">
        <f>IF('Interfaccia-macchina'!G12="0","",1)</f>
        <v>1</v>
      </c>
      <c r="AD22" s="1">
        <f>IF('Interfaccia-macchina'!G12="0","",1)</f>
        <v>1</v>
      </c>
      <c r="AE22" s="1">
        <f>IF('Interfaccia-macchina'!G12="0","",1)</f>
        <v>1</v>
      </c>
      <c r="AF22" s="1">
        <f>IF('Interfaccia-macchina'!G12="0","",1)</f>
        <v>1</v>
      </c>
      <c r="AG22" s="1">
        <f>IF('Interfaccia-macchina'!G12="0","",1)</f>
        <v>1</v>
      </c>
      <c r="AH22" s="1">
        <f>IF('Interfaccia-macchina'!G12="0","",1)</f>
        <v>1</v>
      </c>
      <c r="AI22" s="1">
        <f>IF('Interfaccia-macchina'!G12="0","",1)</f>
        <v>1</v>
      </c>
      <c r="AJ22" s="1">
        <f>IF('Interfaccia-macchina'!G12="0","",1)</f>
        <v>1</v>
      </c>
      <c r="AK22" s="1">
        <f>IF('Interfaccia-macchina'!G12="0","",1)</f>
        <v>1</v>
      </c>
      <c r="AL22" s="1">
        <f>IF('Interfaccia-macchina'!G12="0","",1)</f>
        <v>1</v>
      </c>
      <c r="AP22" s="1">
        <f>IF('Interfaccia-macchina'!C12="0","",1)</f>
        <v>1</v>
      </c>
      <c r="AQ22" s="1">
        <f>IF('Interfaccia-macchina'!C12="0","",1)</f>
        <v>1</v>
      </c>
      <c r="AR22" s="1">
        <f>IF('Interfaccia-macchina'!C12="0","",1)</f>
        <v>1</v>
      </c>
      <c r="AS22" s="1">
        <f>IF('Interfaccia-macchina'!C12="0","",1)</f>
        <v>1</v>
      </c>
      <c r="AT22" s="1">
        <f>IF('Interfaccia-macchina'!C12="0","",1)</f>
        <v>1</v>
      </c>
      <c r="AU22" s="1">
        <f>IF('Interfaccia-macchina'!C12="0","",1)</f>
        <v>1</v>
      </c>
      <c r="AV22" s="1">
        <f>IF('Interfaccia-macchina'!C12="0","",1)</f>
        <v>1</v>
      </c>
      <c r="AW22" s="1">
        <f>IF('Interfaccia-macchina'!C12="0","",1)</f>
        <v>1</v>
      </c>
      <c r="AX22" s="1">
        <f>IF('Interfaccia-macchina'!C12="0","",1)</f>
        <v>1</v>
      </c>
      <c r="AY22" s="1">
        <f>IF('Interfaccia-macchina'!C12="0","",1)</f>
        <v>1</v>
      </c>
      <c r="AZ22" s="1">
        <f>IF('Interfaccia-macchina'!C12="0","",1)</f>
        <v>1</v>
      </c>
    </row>
    <row r="23" spans="2:52" ht="7.5" customHeight="1" x14ac:dyDescent="0.25">
      <c r="C23" s="1">
        <f>IF('Interfaccia-macchina'!G11="0","",1)</f>
        <v>1</v>
      </c>
      <c r="D23" s="1">
        <f>IF('Interfaccia-macchina'!G11="0","",1)</f>
        <v>1</v>
      </c>
      <c r="E23" s="1">
        <f>IF('Interfaccia-macchina'!G11="0","",1)</f>
        <v>1</v>
      </c>
      <c r="F23" s="1">
        <f>IF('Interfaccia-macchina'!G11="0","",1)</f>
        <v>1</v>
      </c>
      <c r="G23" s="1">
        <f>IF('Interfaccia-macchina'!G11="0","",1)</f>
        <v>1</v>
      </c>
      <c r="H23" s="1">
        <f>IF('Interfaccia-macchina'!G11="0","",1)</f>
        <v>1</v>
      </c>
      <c r="I23" s="1">
        <f>IF('Interfaccia-macchina'!G11="0","",1)</f>
        <v>1</v>
      </c>
      <c r="J23" s="1">
        <f>IF('Interfaccia-macchina'!G11="0","",1)</f>
        <v>1</v>
      </c>
      <c r="K23" s="1">
        <f>IF('Interfaccia-macchina'!G11="0","",1)</f>
        <v>1</v>
      </c>
      <c r="M23" s="1" t="str">
        <f>IF('Interfaccia-macchina'!H11="0","",1)</f>
        <v/>
      </c>
      <c r="N23" s="1" t="str">
        <f>IF('Interfaccia-macchina'!H11="0","",1)</f>
        <v/>
      </c>
      <c r="O23" s="1" t="str">
        <f>IF('Interfaccia-macchina'!H11="0","",1)</f>
        <v/>
      </c>
      <c r="Q23" s="1">
        <f>IF('Interfaccia-macchina'!C11="0","",1)</f>
        <v>1</v>
      </c>
      <c r="R23" s="1">
        <f>IF('Interfaccia-macchina'!C11="0","",1)</f>
        <v>1</v>
      </c>
      <c r="S23" s="1">
        <f>IF('Interfaccia-macchina'!C11="0","",1)</f>
        <v>1</v>
      </c>
      <c r="T23" s="1">
        <f>IF('Interfaccia-macchina'!C11="0","",1)</f>
        <v>1</v>
      </c>
      <c r="U23" s="1">
        <f>IF('Interfaccia-macchina'!C11="0","",1)</f>
        <v>1</v>
      </c>
      <c r="V23" s="1">
        <f>IF('Interfaccia-macchina'!C11="0","",1)</f>
        <v>1</v>
      </c>
      <c r="W23" s="1">
        <f>IF('Interfaccia-macchina'!C11="0","",1)</f>
        <v>1</v>
      </c>
      <c r="X23" s="1">
        <f>IF('Interfaccia-macchina'!C11="0","",1)</f>
        <v>1</v>
      </c>
      <c r="Y23" s="1">
        <f>IF('Interfaccia-macchina'!C11="0","",1)</f>
        <v>1</v>
      </c>
      <c r="AC23" s="1">
        <f>IF('Interfaccia-macchina'!G12="0","",1)</f>
        <v>1</v>
      </c>
      <c r="AD23" s="1">
        <f>IF('Interfaccia-macchina'!G12="0","",1)</f>
        <v>1</v>
      </c>
      <c r="AE23" s="1">
        <f>IF('Interfaccia-macchina'!G12="0","",1)</f>
        <v>1</v>
      </c>
      <c r="AF23" s="1">
        <f>IF('Interfaccia-macchina'!G12="0","",1)</f>
        <v>1</v>
      </c>
      <c r="AG23" s="1">
        <f>IF('Interfaccia-macchina'!G12="0","",1)</f>
        <v>1</v>
      </c>
      <c r="AH23" s="1">
        <f>IF('Interfaccia-macchina'!G12="0","",1)</f>
        <v>1</v>
      </c>
      <c r="AI23" s="1">
        <f>IF('Interfaccia-macchina'!G12="0","",1)</f>
        <v>1</v>
      </c>
      <c r="AJ23" s="1">
        <f>IF('Interfaccia-macchina'!G12="0","",1)</f>
        <v>1</v>
      </c>
      <c r="AK23" s="1">
        <f>IF('Interfaccia-macchina'!G12="0","",1)</f>
        <v>1</v>
      </c>
      <c r="AM23" s="1" t="str">
        <f>IF('Interfaccia-macchina'!H12="0","",1)</f>
        <v/>
      </c>
      <c r="AN23" s="1" t="str">
        <f>IF('Interfaccia-macchina'!H12="0","",1)</f>
        <v/>
      </c>
      <c r="AO23" s="1" t="str">
        <f>IF('Interfaccia-macchina'!H12="0","",1)</f>
        <v/>
      </c>
      <c r="AQ23" s="1">
        <f>IF('Interfaccia-macchina'!C12="0","",1)</f>
        <v>1</v>
      </c>
      <c r="AR23" s="1">
        <f>IF('Interfaccia-macchina'!C12="0","",1)</f>
        <v>1</v>
      </c>
      <c r="AS23" s="1">
        <f>IF('Interfaccia-macchina'!C12="0","",1)</f>
        <v>1</v>
      </c>
      <c r="AT23" s="1">
        <f>IF('Interfaccia-macchina'!C12="0","",1)</f>
        <v>1</v>
      </c>
      <c r="AU23" s="1">
        <f>IF('Interfaccia-macchina'!C12="0","",1)</f>
        <v>1</v>
      </c>
      <c r="AV23" s="1">
        <f>IF('Interfaccia-macchina'!C12="0","",1)</f>
        <v>1</v>
      </c>
      <c r="AW23" s="1">
        <f>IF('Interfaccia-macchina'!C12="0","",1)</f>
        <v>1</v>
      </c>
      <c r="AX23" s="1">
        <f>IF('Interfaccia-macchina'!C12="0","",1)</f>
        <v>1</v>
      </c>
      <c r="AY23" s="1">
        <f>IF('Interfaccia-macchina'!C12="0","",1)</f>
        <v>1</v>
      </c>
    </row>
    <row r="24" spans="2:52" ht="7.5" customHeight="1" x14ac:dyDescent="0.25">
      <c r="D24" s="1">
        <f>IF('Interfaccia-macchina'!G11="0","",1)</f>
        <v>1</v>
      </c>
      <c r="E24" s="1">
        <f>IF('Interfaccia-macchina'!G11="0","",1)</f>
        <v>1</v>
      </c>
      <c r="F24" s="1">
        <f>IF('Interfaccia-macchina'!G11="0","",1)</f>
        <v>1</v>
      </c>
      <c r="G24" s="1">
        <f>IF('Interfaccia-macchina'!G11="0","",1)</f>
        <v>1</v>
      </c>
      <c r="H24" s="1">
        <f>IF('Interfaccia-macchina'!G11="0","",1)</f>
        <v>1</v>
      </c>
      <c r="I24" s="1">
        <f>IF('Interfaccia-macchina'!G11="0","",1)</f>
        <v>1</v>
      </c>
      <c r="J24" s="1">
        <f>IF('Interfaccia-macchina'!G11="0","",1)</f>
        <v>1</v>
      </c>
      <c r="L24" s="1" t="str">
        <f>IF('Interfaccia-macchina'!H11="0","",1)</f>
        <v/>
      </c>
      <c r="M24" s="1" t="str">
        <f>IF('Interfaccia-macchina'!H11="0","",1)</f>
        <v/>
      </c>
      <c r="N24" s="1" t="str">
        <f>IF('Interfaccia-macchina'!H11="0","",1)</f>
        <v/>
      </c>
      <c r="O24" s="1" t="str">
        <f>IF('Interfaccia-macchina'!H11="0","",1)</f>
        <v/>
      </c>
      <c r="P24" s="1" t="str">
        <f>IF('Interfaccia-macchina'!H11="0","",1)</f>
        <v/>
      </c>
      <c r="R24" s="1">
        <f>IF('Interfaccia-macchina'!C11="0","",1)</f>
        <v>1</v>
      </c>
      <c r="S24" s="1">
        <f>IF('Interfaccia-macchina'!C11="0","",1)</f>
        <v>1</v>
      </c>
      <c r="T24" s="1">
        <f>IF('Interfaccia-macchina'!C11="0","",1)</f>
        <v>1</v>
      </c>
      <c r="U24" s="1">
        <f>IF('Interfaccia-macchina'!C11="0","",1)</f>
        <v>1</v>
      </c>
      <c r="V24" s="1">
        <f>IF('Interfaccia-macchina'!C11="0","",1)</f>
        <v>1</v>
      </c>
      <c r="W24" s="1">
        <f>IF('Interfaccia-macchina'!C11="0","",1)</f>
        <v>1</v>
      </c>
      <c r="X24" s="1">
        <f>IF('Interfaccia-macchina'!C11="0","",1)</f>
        <v>1</v>
      </c>
      <c r="AD24" s="1">
        <f>IF('Interfaccia-macchina'!G12="0","",1)</f>
        <v>1</v>
      </c>
      <c r="AE24" s="1">
        <f>IF('Interfaccia-macchina'!G12="0","",1)</f>
        <v>1</v>
      </c>
      <c r="AF24" s="1">
        <f>IF('Interfaccia-macchina'!G12="0","",1)</f>
        <v>1</v>
      </c>
      <c r="AG24" s="1">
        <f>IF('Interfaccia-macchina'!G12="0","",1)</f>
        <v>1</v>
      </c>
      <c r="AH24" s="1">
        <f>IF('Interfaccia-macchina'!G12="0","",1)</f>
        <v>1</v>
      </c>
      <c r="AI24" s="1">
        <f>IF('Interfaccia-macchina'!G12="0","",1)</f>
        <v>1</v>
      </c>
      <c r="AJ24" s="1">
        <f>IF('Interfaccia-macchina'!G12="0","",1)</f>
        <v>1</v>
      </c>
      <c r="AL24" s="1" t="str">
        <f>IF('Interfaccia-macchina'!H12="0","",1)</f>
        <v/>
      </c>
      <c r="AM24" s="1" t="str">
        <f>IF('Interfaccia-macchina'!H12="0","",1)</f>
        <v/>
      </c>
      <c r="AN24" s="1" t="str">
        <f>IF('Interfaccia-macchina'!H12="0","",1)</f>
        <v/>
      </c>
      <c r="AO24" s="1" t="str">
        <f>IF('Interfaccia-macchina'!H12="0","",1)</f>
        <v/>
      </c>
      <c r="AP24" s="1" t="str">
        <f>IF('Interfaccia-macchina'!H12="0","",1)</f>
        <v/>
      </c>
      <c r="AR24" s="1">
        <f>IF('Interfaccia-macchina'!C12="0","",1)</f>
        <v>1</v>
      </c>
      <c r="AS24" s="1">
        <f>IF('Interfaccia-macchina'!C12="0","",1)</f>
        <v>1</v>
      </c>
      <c r="AT24" s="1">
        <f>IF('Interfaccia-macchina'!C12="0","",1)</f>
        <v>1</v>
      </c>
      <c r="AU24" s="1">
        <f>IF('Interfaccia-macchina'!C12="0","",1)</f>
        <v>1</v>
      </c>
      <c r="AV24" s="1">
        <f>IF('Interfaccia-macchina'!C12="0","",1)</f>
        <v>1</v>
      </c>
      <c r="AW24" s="1">
        <f>IF('Interfaccia-macchina'!C12="0","",1)</f>
        <v>1</v>
      </c>
      <c r="AX24" s="1">
        <f>IF('Interfaccia-macchina'!C12="0","",1)</f>
        <v>1</v>
      </c>
    </row>
    <row r="25" spans="2:52" ht="7.5" customHeight="1" x14ac:dyDescent="0.25">
      <c r="E25" s="1">
        <f>IF('Interfaccia-macchina'!G11="0","",1)</f>
        <v>1</v>
      </c>
      <c r="F25" s="1">
        <f>IF('Interfaccia-macchina'!G11="0","",1)</f>
        <v>1</v>
      </c>
      <c r="G25" s="1">
        <f>IF('Interfaccia-macchina'!G11="0","",1)</f>
        <v>1</v>
      </c>
      <c r="H25" s="1">
        <f>IF('Interfaccia-macchina'!G11="0","",1)</f>
        <v>1</v>
      </c>
      <c r="I25" s="1">
        <f>IF('Interfaccia-macchina'!G11="0","",1)</f>
        <v>1</v>
      </c>
      <c r="K25" s="1" t="str">
        <f>IF('Interfaccia-macchina'!H11="0","",1)</f>
        <v/>
      </c>
      <c r="L25" s="1" t="str">
        <f>IF('Interfaccia-macchina'!H11="0","",1)</f>
        <v/>
      </c>
      <c r="M25" s="1" t="str">
        <f>IF('Interfaccia-macchina'!H11="0","",1)</f>
        <v/>
      </c>
      <c r="N25" s="1" t="str">
        <f>IF('Interfaccia-macchina'!H11="0","",1)</f>
        <v/>
      </c>
      <c r="O25" s="1" t="str">
        <f>IF('Interfaccia-macchina'!H11="0","",1)</f>
        <v/>
      </c>
      <c r="P25" s="1" t="str">
        <f>IF('Interfaccia-macchina'!H11="0","",1)</f>
        <v/>
      </c>
      <c r="Q25" s="1" t="str">
        <f>IF('Interfaccia-macchina'!H11="0","",1)</f>
        <v/>
      </c>
      <c r="S25" s="1">
        <f>IF('Interfaccia-macchina'!C11="0","",1)</f>
        <v>1</v>
      </c>
      <c r="T25" s="1">
        <f>IF('Interfaccia-macchina'!C11="0","",1)</f>
        <v>1</v>
      </c>
      <c r="U25" s="1">
        <f>IF('Interfaccia-macchina'!C11="0","",1)</f>
        <v>1</v>
      </c>
      <c r="V25" s="1">
        <f>IF('Interfaccia-macchina'!C11="0","",1)</f>
        <v>1</v>
      </c>
      <c r="W25" s="1">
        <f>IF('Interfaccia-macchina'!C11="0","",1)</f>
        <v>1</v>
      </c>
      <c r="AE25" s="1">
        <f>IF('Interfaccia-macchina'!G12="0","",1)</f>
        <v>1</v>
      </c>
      <c r="AF25" s="1">
        <f>IF('Interfaccia-macchina'!G12="0","",1)</f>
        <v>1</v>
      </c>
      <c r="AG25" s="1">
        <f>IF('Interfaccia-macchina'!G12="0","",1)</f>
        <v>1</v>
      </c>
      <c r="AH25" s="1">
        <f>IF('Interfaccia-macchina'!G12="0","",1)</f>
        <v>1</v>
      </c>
      <c r="AI25" s="1">
        <f>IF('Interfaccia-macchina'!G12="0","",1)</f>
        <v>1</v>
      </c>
      <c r="AK25" s="1" t="str">
        <f>IF('Interfaccia-macchina'!H12="0","",1)</f>
        <v/>
      </c>
      <c r="AL25" s="1" t="str">
        <f>IF('Interfaccia-macchina'!H12="0","",1)</f>
        <v/>
      </c>
      <c r="AM25" s="1" t="str">
        <f>IF('Interfaccia-macchina'!H12="0","",1)</f>
        <v/>
      </c>
      <c r="AN25" s="1" t="str">
        <f>IF('Interfaccia-macchina'!H12="0","",1)</f>
        <v/>
      </c>
      <c r="AO25" s="1" t="str">
        <f>IF('Interfaccia-macchina'!H12="0","",1)</f>
        <v/>
      </c>
      <c r="AP25" s="1" t="str">
        <f>IF('Interfaccia-macchina'!H12="0","",1)</f>
        <v/>
      </c>
      <c r="AQ25" s="1" t="str">
        <f>IF('Interfaccia-macchina'!H12="0","",1)</f>
        <v/>
      </c>
      <c r="AS25" s="1">
        <f>IF('Interfaccia-macchina'!C12="0","",1)</f>
        <v>1</v>
      </c>
      <c r="AT25" s="1">
        <f>IF('Interfaccia-macchina'!C12="0","",1)</f>
        <v>1</v>
      </c>
      <c r="AU25" s="1">
        <f>IF('Interfaccia-macchina'!C12="0","",1)</f>
        <v>1</v>
      </c>
      <c r="AV25" s="1">
        <f>IF('Interfaccia-macchina'!C12="0","",1)</f>
        <v>1</v>
      </c>
      <c r="AW25" s="1">
        <f>IF('Interfaccia-macchina'!C12="0","",1)</f>
        <v>1</v>
      </c>
    </row>
    <row r="26" spans="2:52" ht="7.5" customHeight="1" x14ac:dyDescent="0.25">
      <c r="F26" s="1">
        <f>IF('Interfaccia-macchina'!G11="0","",1)</f>
        <v>1</v>
      </c>
      <c r="G26" s="1">
        <f>IF('Interfaccia-macchina'!G11="0","",1)</f>
        <v>1</v>
      </c>
      <c r="H26" s="1">
        <f>IF('Interfaccia-macchina'!G11="0","",1)</f>
        <v>1</v>
      </c>
      <c r="J26" s="1" t="str">
        <f>IF('Interfaccia-macchina'!H11="0","",1)</f>
        <v/>
      </c>
      <c r="K26" s="1" t="str">
        <f>IF('Interfaccia-macchina'!H11="0","",1)</f>
        <v/>
      </c>
      <c r="L26" s="1" t="str">
        <f>IF('Interfaccia-macchina'!H11="0","",1)</f>
        <v/>
      </c>
      <c r="M26" s="1" t="str">
        <f>IF('Interfaccia-macchina'!H11="0","",1)</f>
        <v/>
      </c>
      <c r="N26" s="1" t="str">
        <f>IF('Interfaccia-macchina'!H11="0","",1)</f>
        <v/>
      </c>
      <c r="O26" s="1" t="str">
        <f>IF('Interfaccia-macchina'!H11="0","",1)</f>
        <v/>
      </c>
      <c r="P26" s="1" t="str">
        <f>IF('Interfaccia-macchina'!H11="0","",1)</f>
        <v/>
      </c>
      <c r="Q26" s="1" t="str">
        <f>IF('Interfaccia-macchina'!H11="0","",1)</f>
        <v/>
      </c>
      <c r="R26" s="1" t="str">
        <f>IF('Interfaccia-macchina'!H11="0","",1)</f>
        <v/>
      </c>
      <c r="T26" s="1">
        <f>IF('Interfaccia-macchina'!C11="0","",1)</f>
        <v>1</v>
      </c>
      <c r="U26" s="1">
        <f>IF('Interfaccia-macchina'!C11="0","",1)</f>
        <v>1</v>
      </c>
      <c r="V26" s="1">
        <f>IF('Interfaccia-macchina'!C11="0","",1)</f>
        <v>1</v>
      </c>
      <c r="AF26" s="1">
        <f>IF('Interfaccia-macchina'!G12="0","",1)</f>
        <v>1</v>
      </c>
      <c r="AG26" s="1">
        <f>IF('Interfaccia-macchina'!G12="0","",1)</f>
        <v>1</v>
      </c>
      <c r="AH26" s="1">
        <f>IF('Interfaccia-macchina'!G12="0","",1)</f>
        <v>1</v>
      </c>
      <c r="AJ26" s="1" t="str">
        <f>IF('Interfaccia-macchina'!H12="0","",1)</f>
        <v/>
      </c>
      <c r="AK26" s="1" t="str">
        <f>IF('Interfaccia-macchina'!H12="0","",1)</f>
        <v/>
      </c>
      <c r="AL26" s="1" t="str">
        <f>IF('Interfaccia-macchina'!H12="0","",1)</f>
        <v/>
      </c>
      <c r="AM26" s="1" t="str">
        <f>IF('Interfaccia-macchina'!H12="0","",1)</f>
        <v/>
      </c>
      <c r="AN26" s="1" t="str">
        <f>IF('Interfaccia-macchina'!H12="0","",1)</f>
        <v/>
      </c>
      <c r="AO26" s="1" t="str">
        <f>IF('Interfaccia-macchina'!H12="0","",1)</f>
        <v/>
      </c>
      <c r="AP26" s="1" t="str">
        <f>IF('Interfaccia-macchina'!H12="0","",1)</f>
        <v/>
      </c>
      <c r="AQ26" s="1" t="str">
        <f>IF('Interfaccia-macchina'!H12="0","",1)</f>
        <v/>
      </c>
      <c r="AR26" s="1" t="str">
        <f>IF('Interfaccia-macchina'!H12="0","",1)</f>
        <v/>
      </c>
      <c r="AT26" s="1">
        <f>IF('Interfaccia-macchina'!C12="0","",1)</f>
        <v>1</v>
      </c>
      <c r="AU26" s="1">
        <f>IF('Interfaccia-macchina'!C12="0","",1)</f>
        <v>1</v>
      </c>
      <c r="AV26" s="1">
        <f>IF('Interfaccia-macchina'!C12="0","",1)</f>
        <v>1</v>
      </c>
    </row>
    <row r="27" spans="2:52" ht="7.5" customHeight="1" x14ac:dyDescent="0.25">
      <c r="G27" s="1">
        <f>IF('Interfaccia-macchina'!G11="0","",1)</f>
        <v>1</v>
      </c>
      <c r="I27" s="1" t="str">
        <f>IF('Interfaccia-macchina'!H11="0","",1)</f>
        <v/>
      </c>
      <c r="J27" s="1" t="str">
        <f>IF('Interfaccia-macchina'!H11="0","",1)</f>
        <v/>
      </c>
      <c r="K27" s="1" t="str">
        <f>IF('Interfaccia-macchina'!H11="0","",1)</f>
        <v/>
      </c>
      <c r="L27" s="1" t="str">
        <f>IF('Interfaccia-macchina'!H11="0","",1)</f>
        <v/>
      </c>
      <c r="M27" s="1" t="str">
        <f>IF('Interfaccia-macchina'!H11="0","",1)</f>
        <v/>
      </c>
      <c r="N27" s="1" t="str">
        <f>IF('Interfaccia-macchina'!H11="0","",1)</f>
        <v/>
      </c>
      <c r="O27" s="1" t="str">
        <f>IF('Interfaccia-macchina'!H11="0","",1)</f>
        <v/>
      </c>
      <c r="P27" s="1" t="str">
        <f>IF('Interfaccia-macchina'!H11="0","",1)</f>
        <v/>
      </c>
      <c r="Q27" s="1" t="str">
        <f>IF('Interfaccia-macchina'!H11="0","",1)</f>
        <v/>
      </c>
      <c r="R27" s="1" t="str">
        <f>IF('Interfaccia-macchina'!H11="0","",1)</f>
        <v/>
      </c>
      <c r="S27" s="1" t="str">
        <f>IF('Interfaccia-macchina'!H11="0","",1)</f>
        <v/>
      </c>
      <c r="U27" s="1">
        <f>IF('Interfaccia-macchina'!C11="0","",1)</f>
        <v>1</v>
      </c>
      <c r="AG27" s="1">
        <f>IF('Interfaccia-macchina'!G12="0","",1)</f>
        <v>1</v>
      </c>
      <c r="AI27" s="1" t="str">
        <f>IF('Interfaccia-macchina'!H12="0","",1)</f>
        <v/>
      </c>
      <c r="AJ27" s="1" t="str">
        <f>IF('Interfaccia-macchina'!H12="0","",1)</f>
        <v/>
      </c>
      <c r="AK27" s="1" t="str">
        <f>IF('Interfaccia-macchina'!H12="0","",1)</f>
        <v/>
      </c>
      <c r="AL27" s="1" t="str">
        <f>IF('Interfaccia-macchina'!H12="0","",1)</f>
        <v/>
      </c>
      <c r="AM27" s="1" t="str">
        <f>IF('Interfaccia-macchina'!H12="0","",1)</f>
        <v/>
      </c>
      <c r="AN27" s="1" t="str">
        <f>IF('Interfaccia-macchina'!H12="0","",1)</f>
        <v/>
      </c>
      <c r="AO27" s="1" t="str">
        <f>IF('Interfaccia-macchina'!H12="0","",1)</f>
        <v/>
      </c>
      <c r="AP27" s="1" t="str">
        <f>IF('Interfaccia-macchina'!H12="0","",1)</f>
        <v/>
      </c>
      <c r="AQ27" s="1" t="str">
        <f>IF('Interfaccia-macchina'!H12="0","",1)</f>
        <v/>
      </c>
      <c r="AR27" s="1" t="str">
        <f>IF('Interfaccia-macchina'!H12="0","",1)</f>
        <v/>
      </c>
      <c r="AS27" s="1" t="str">
        <f>IF('Interfaccia-macchina'!H12="0","",1)</f>
        <v/>
      </c>
      <c r="AU27" s="1">
        <f>IF('Interfaccia-macchina'!C12="0","",1)</f>
        <v>1</v>
      </c>
    </row>
    <row r="28" spans="2:52" ht="7.5" customHeight="1" x14ac:dyDescent="0.25">
      <c r="H28" s="1" t="str">
        <f>IF('Interfaccia-macchina'!H11="0","",1)</f>
        <v/>
      </c>
      <c r="I28" s="1" t="str">
        <f>IF('Interfaccia-macchina'!H11="0","",1)</f>
        <v/>
      </c>
      <c r="J28" s="1" t="str">
        <f>IF('Interfaccia-macchina'!H11="0","",1)</f>
        <v/>
      </c>
      <c r="K28" s="1" t="str">
        <f>IF('Interfaccia-macchina'!H11="0","",1)</f>
        <v/>
      </c>
      <c r="L28" s="1" t="str">
        <f>IF('Interfaccia-macchina'!H11="0","",1)</f>
        <v/>
      </c>
      <c r="M28" s="1" t="str">
        <f>IF('Interfaccia-macchina'!H11="0","",1)</f>
        <v/>
      </c>
      <c r="N28" s="1" t="str">
        <f>IF('Interfaccia-macchina'!H11="0","",1)</f>
        <v/>
      </c>
      <c r="O28" s="1" t="str">
        <f>IF('Interfaccia-macchina'!H11="0","",1)</f>
        <v/>
      </c>
      <c r="P28" s="1" t="str">
        <f>IF('Interfaccia-macchina'!H11="0","",1)</f>
        <v/>
      </c>
      <c r="Q28" s="1" t="str">
        <f>IF('Interfaccia-macchina'!H11="0","",1)</f>
        <v/>
      </c>
      <c r="R28" s="1" t="str">
        <f>IF('Interfaccia-macchina'!H11="0","",1)</f>
        <v/>
      </c>
      <c r="S28" s="1" t="str">
        <f>IF('Interfaccia-macchina'!H11="0","",1)</f>
        <v/>
      </c>
      <c r="T28" s="1" t="str">
        <f>IF('Interfaccia-macchina'!H11="0","",1)</f>
        <v/>
      </c>
      <c r="AH28" s="1" t="str">
        <f>IF('Interfaccia-macchina'!H12="0","",1)</f>
        <v/>
      </c>
      <c r="AI28" s="1" t="str">
        <f>IF('Interfaccia-macchina'!H12="0","",1)</f>
        <v/>
      </c>
      <c r="AJ28" s="1" t="str">
        <f>IF('Interfaccia-macchina'!H12="0","",1)</f>
        <v/>
      </c>
      <c r="AK28" s="1" t="str">
        <f>IF('Interfaccia-macchina'!H12="0","",1)</f>
        <v/>
      </c>
      <c r="AL28" s="1" t="str">
        <f>IF('Interfaccia-macchina'!H12="0","",1)</f>
        <v/>
      </c>
      <c r="AM28" s="1" t="str">
        <f>IF('Interfaccia-macchina'!H12="0","",1)</f>
        <v/>
      </c>
      <c r="AN28" s="1" t="str">
        <f>IF('Interfaccia-macchina'!H12="0","",1)</f>
        <v/>
      </c>
      <c r="AO28" s="1" t="str">
        <f>IF('Interfaccia-macchina'!H12="0","",1)</f>
        <v/>
      </c>
      <c r="AP28" s="1" t="str">
        <f>IF('Interfaccia-macchina'!H12="0","",1)</f>
        <v/>
      </c>
      <c r="AQ28" s="1" t="str">
        <f>IF('Interfaccia-macchina'!H12="0","",1)</f>
        <v/>
      </c>
      <c r="AR28" s="1" t="str">
        <f>IF('Interfaccia-macchina'!H12="0","",1)</f>
        <v/>
      </c>
      <c r="AS28" s="1" t="str">
        <f>IF('Interfaccia-macchina'!H12="0","",1)</f>
        <v/>
      </c>
      <c r="AT28" s="1" t="str">
        <f>IF('Interfaccia-macchina'!H12="0","",1)</f>
        <v/>
      </c>
    </row>
    <row r="29" spans="2:52" ht="7.5" customHeight="1" x14ac:dyDescent="0.25">
      <c r="G29" s="1">
        <f>IF('Interfaccia-macchina'!F11="0","",1)</f>
        <v>1</v>
      </c>
      <c r="I29" s="1" t="str">
        <f>IF('Interfaccia-macchina'!H11="0","",1)</f>
        <v/>
      </c>
      <c r="J29" s="1" t="str">
        <f>IF('Interfaccia-macchina'!H11="0","",1)</f>
        <v/>
      </c>
      <c r="K29" s="1" t="str">
        <f>IF('Interfaccia-macchina'!H11="0","",1)</f>
        <v/>
      </c>
      <c r="L29" s="1" t="str">
        <f>IF('Interfaccia-macchina'!H11="0","",1)</f>
        <v/>
      </c>
      <c r="M29" s="1" t="str">
        <f>IF('Interfaccia-macchina'!H11="0","",1)</f>
        <v/>
      </c>
      <c r="N29" s="1" t="str">
        <f>IF('Interfaccia-macchina'!H11="0","",1)</f>
        <v/>
      </c>
      <c r="O29" s="1" t="str">
        <f>IF('Interfaccia-macchina'!H11="0","",1)</f>
        <v/>
      </c>
      <c r="P29" s="1" t="str">
        <f>IF('Interfaccia-macchina'!H11="0","",1)</f>
        <v/>
      </c>
      <c r="Q29" s="1" t="str">
        <f>IF('Interfaccia-macchina'!H11="0","",1)</f>
        <v/>
      </c>
      <c r="R29" s="1" t="str">
        <f>IF('Interfaccia-macchina'!H11="0","",1)</f>
        <v/>
      </c>
      <c r="S29" s="1" t="str">
        <f>IF('Interfaccia-macchina'!H11="0","",1)</f>
        <v/>
      </c>
      <c r="U29" s="1">
        <f>IF('Interfaccia-macchina'!D11="0","",1)</f>
        <v>1</v>
      </c>
      <c r="AG29" s="1">
        <f>IF('Interfaccia-macchina'!F12="0","",1)</f>
        <v>1</v>
      </c>
      <c r="AI29" s="1" t="str">
        <f>IF('Interfaccia-macchina'!H12="0","",1)</f>
        <v/>
      </c>
      <c r="AJ29" s="1" t="str">
        <f>IF('Interfaccia-macchina'!H12="0","",1)</f>
        <v/>
      </c>
      <c r="AK29" s="1" t="str">
        <f>IF('Interfaccia-macchina'!H12="0","",1)</f>
        <v/>
      </c>
      <c r="AL29" s="1" t="str">
        <f>IF('Interfaccia-macchina'!H12="0","",1)</f>
        <v/>
      </c>
      <c r="AM29" s="1" t="str">
        <f>IF('Interfaccia-macchina'!H12="0","",1)</f>
        <v/>
      </c>
      <c r="AN29" s="1" t="str">
        <f>IF('Interfaccia-macchina'!H12="0","",1)</f>
        <v/>
      </c>
      <c r="AO29" s="1" t="str">
        <f>IF('Interfaccia-macchina'!H12="0","",1)</f>
        <v/>
      </c>
      <c r="AP29" s="1" t="str">
        <f>IF('Interfaccia-macchina'!H12="0","",1)</f>
        <v/>
      </c>
      <c r="AQ29" s="1" t="str">
        <f>IF('Interfaccia-macchina'!H12="0","",1)</f>
        <v/>
      </c>
      <c r="AR29" s="1" t="str">
        <f>IF('Interfaccia-macchina'!H12="0","",1)</f>
        <v/>
      </c>
      <c r="AS29" s="1" t="str">
        <f>IF('Interfaccia-macchina'!H12="0","",1)</f>
        <v/>
      </c>
      <c r="AU29" s="1">
        <f>IF('Interfaccia-macchina'!D12="0","",1)</f>
        <v>1</v>
      </c>
    </row>
    <row r="30" spans="2:52" ht="7.5" customHeight="1" x14ac:dyDescent="0.25">
      <c r="F30" s="1">
        <f>IF('Interfaccia-macchina'!F11="0","",1)</f>
        <v>1</v>
      </c>
      <c r="G30" s="1">
        <f>IF('Interfaccia-macchina'!F11="0","",1)</f>
        <v>1</v>
      </c>
      <c r="H30" s="1">
        <f>IF('Interfaccia-macchina'!F11="0","",1)</f>
        <v>1</v>
      </c>
      <c r="J30" s="1" t="str">
        <f>IF('Interfaccia-macchina'!H11="0","",1)</f>
        <v/>
      </c>
      <c r="K30" s="1" t="str">
        <f>IF('Interfaccia-macchina'!H11="0","",1)</f>
        <v/>
      </c>
      <c r="L30" s="1" t="str">
        <f>IF('Interfaccia-macchina'!H11="0","",1)</f>
        <v/>
      </c>
      <c r="M30" s="1" t="str">
        <f>IF('Interfaccia-macchina'!H11="0","",1)</f>
        <v/>
      </c>
      <c r="N30" s="1" t="str">
        <f>IF('Interfaccia-macchina'!H11="0","",1)</f>
        <v/>
      </c>
      <c r="O30" s="1" t="str">
        <f>IF('Interfaccia-macchina'!H11="0","",1)</f>
        <v/>
      </c>
      <c r="P30" s="1" t="str">
        <f>IF('Interfaccia-macchina'!H11="0","",1)</f>
        <v/>
      </c>
      <c r="Q30" s="1" t="str">
        <f>IF('Interfaccia-macchina'!H11="0","",1)</f>
        <v/>
      </c>
      <c r="R30" s="1" t="str">
        <f>IF('Interfaccia-macchina'!H11="0","",1)</f>
        <v/>
      </c>
      <c r="T30" s="1">
        <f>IF('Interfaccia-macchina'!D11="0","",1)</f>
        <v>1</v>
      </c>
      <c r="U30" s="1">
        <f>IF('Interfaccia-macchina'!D11="0","",1)</f>
        <v>1</v>
      </c>
      <c r="V30" s="1">
        <f>IF('Interfaccia-macchina'!D11="0","",1)</f>
        <v>1</v>
      </c>
      <c r="AF30" s="1">
        <f>IF('Interfaccia-macchina'!F12="0","",1)</f>
        <v>1</v>
      </c>
      <c r="AG30" s="1">
        <f>IF('Interfaccia-macchina'!F12="0","",1)</f>
        <v>1</v>
      </c>
      <c r="AH30" s="1">
        <f>IF('Interfaccia-macchina'!F12="0","",1)</f>
        <v>1</v>
      </c>
      <c r="AJ30" s="1" t="str">
        <f>IF('Interfaccia-macchina'!H12="0","",1)</f>
        <v/>
      </c>
      <c r="AK30" s="1" t="str">
        <f>IF('Interfaccia-macchina'!H12="0","",1)</f>
        <v/>
      </c>
      <c r="AL30" s="1" t="str">
        <f>IF('Interfaccia-macchina'!H12="0","",1)</f>
        <v/>
      </c>
      <c r="AM30" s="1" t="str">
        <f>IF('Interfaccia-macchina'!H12="0","",1)</f>
        <v/>
      </c>
      <c r="AN30" s="1" t="str">
        <f>IF('Interfaccia-macchina'!H12="0","",1)</f>
        <v/>
      </c>
      <c r="AO30" s="1" t="str">
        <f>IF('Interfaccia-macchina'!H12="0","",1)</f>
        <v/>
      </c>
      <c r="AP30" s="1" t="str">
        <f>IF('Interfaccia-macchina'!H12="0","",1)</f>
        <v/>
      </c>
      <c r="AQ30" s="1" t="str">
        <f>IF('Interfaccia-macchina'!H12="0","",1)</f>
        <v/>
      </c>
      <c r="AR30" s="1" t="str">
        <f>IF('Interfaccia-macchina'!H12="0","",1)</f>
        <v/>
      </c>
      <c r="AT30" s="1">
        <f>IF('Interfaccia-macchina'!D12="0","",1)</f>
        <v>1</v>
      </c>
      <c r="AU30" s="1">
        <f>IF('Interfaccia-macchina'!D12="0","",1)</f>
        <v>1</v>
      </c>
      <c r="AV30" s="1">
        <f>IF('Interfaccia-macchina'!D12="0","",1)</f>
        <v>1</v>
      </c>
    </row>
    <row r="31" spans="2:52" ht="7.5" customHeight="1" x14ac:dyDescent="0.25">
      <c r="E31" s="1">
        <f>IF('Interfaccia-macchina'!F11="0","",1)</f>
        <v>1</v>
      </c>
      <c r="F31" s="1">
        <f>IF('Interfaccia-macchina'!F11="0","",1)</f>
        <v>1</v>
      </c>
      <c r="G31" s="1">
        <f>IF('Interfaccia-macchina'!F11="0","",1)</f>
        <v>1</v>
      </c>
      <c r="H31" s="1">
        <f>IF('Interfaccia-macchina'!F11="0","",1)</f>
        <v>1</v>
      </c>
      <c r="I31" s="1">
        <f>IF('Interfaccia-macchina'!F11="0","",1)</f>
        <v>1</v>
      </c>
      <c r="K31" s="1" t="str">
        <f>IF('Interfaccia-macchina'!H11="0","",1)</f>
        <v/>
      </c>
      <c r="L31" s="1" t="str">
        <f>IF('Interfaccia-macchina'!H11="0","",1)</f>
        <v/>
      </c>
      <c r="M31" s="1" t="str">
        <f>IF('Interfaccia-macchina'!H11="0","",1)</f>
        <v/>
      </c>
      <c r="N31" s="1" t="str">
        <f>IF('Interfaccia-macchina'!H11="0","",1)</f>
        <v/>
      </c>
      <c r="O31" s="1" t="str">
        <f>IF('Interfaccia-macchina'!H11="0","",1)</f>
        <v/>
      </c>
      <c r="P31" s="1" t="str">
        <f>IF('Interfaccia-macchina'!H11="0","",1)</f>
        <v/>
      </c>
      <c r="Q31" s="1" t="str">
        <f>IF('Interfaccia-macchina'!H11="0","",1)</f>
        <v/>
      </c>
      <c r="S31" s="1">
        <f>IF('Interfaccia-macchina'!D11="0","",1)</f>
        <v>1</v>
      </c>
      <c r="T31" s="1">
        <f>IF('Interfaccia-macchina'!D11="0","",1)</f>
        <v>1</v>
      </c>
      <c r="U31" s="1">
        <f>IF('Interfaccia-macchina'!D11="0","",1)</f>
        <v>1</v>
      </c>
      <c r="V31" s="1">
        <f>IF('Interfaccia-macchina'!D11="0","",1)</f>
        <v>1</v>
      </c>
      <c r="W31" s="1">
        <f>IF('Interfaccia-macchina'!D11="0","",1)</f>
        <v>1</v>
      </c>
      <c r="AE31" s="1">
        <f>IF('Interfaccia-macchina'!F12="0","",1)</f>
        <v>1</v>
      </c>
      <c r="AF31" s="1">
        <f>IF('Interfaccia-macchina'!F12="0","",1)</f>
        <v>1</v>
      </c>
      <c r="AG31" s="1">
        <f>IF('Interfaccia-macchina'!F12="0","",1)</f>
        <v>1</v>
      </c>
      <c r="AH31" s="1">
        <f>IF('Interfaccia-macchina'!F12="0","",1)</f>
        <v>1</v>
      </c>
      <c r="AI31" s="1">
        <f>IF('Interfaccia-macchina'!F12="0","",1)</f>
        <v>1</v>
      </c>
      <c r="AK31" s="1" t="str">
        <f>IF('Interfaccia-macchina'!H12="0","",1)</f>
        <v/>
      </c>
      <c r="AL31" s="1" t="str">
        <f>IF('Interfaccia-macchina'!H12="0","",1)</f>
        <v/>
      </c>
      <c r="AM31" s="1" t="str">
        <f>IF('Interfaccia-macchina'!H12="0","",1)</f>
        <v/>
      </c>
      <c r="AN31" s="1" t="str">
        <f>IF('Interfaccia-macchina'!H12="0","",1)</f>
        <v/>
      </c>
      <c r="AO31" s="1" t="str">
        <f>IF('Interfaccia-macchina'!H12="0","",1)</f>
        <v/>
      </c>
      <c r="AP31" s="1" t="str">
        <f>IF('Interfaccia-macchina'!H12="0","",1)</f>
        <v/>
      </c>
      <c r="AQ31" s="1" t="str">
        <f>IF('Interfaccia-macchina'!H12="0","",1)</f>
        <v/>
      </c>
      <c r="AS31" s="1">
        <f>IF('Interfaccia-macchina'!D12="0","",1)</f>
        <v>1</v>
      </c>
      <c r="AT31" s="1">
        <f>IF('Interfaccia-macchina'!D12="0","",1)</f>
        <v>1</v>
      </c>
      <c r="AU31" s="1">
        <f>IF('Interfaccia-macchina'!D12="0","",1)</f>
        <v>1</v>
      </c>
      <c r="AV31" s="1">
        <f>IF('Interfaccia-macchina'!D12="0","",1)</f>
        <v>1</v>
      </c>
      <c r="AW31" s="1">
        <f>IF('Interfaccia-macchina'!D12="0","",1)</f>
        <v>1</v>
      </c>
    </row>
    <row r="32" spans="2:52" ht="7.5" customHeight="1" x14ac:dyDescent="0.25">
      <c r="D32" s="1">
        <f>IF('Interfaccia-macchina'!F11="0","",1)</f>
        <v>1</v>
      </c>
      <c r="E32" s="1">
        <f>IF('Interfaccia-macchina'!F11="0","",1)</f>
        <v>1</v>
      </c>
      <c r="F32" s="1">
        <f>IF('Interfaccia-macchina'!F11="0","",1)</f>
        <v>1</v>
      </c>
      <c r="G32" s="1">
        <f>IF('Interfaccia-macchina'!F11="0","",1)</f>
        <v>1</v>
      </c>
      <c r="H32" s="1">
        <f>IF('Interfaccia-macchina'!F11="0","",1)</f>
        <v>1</v>
      </c>
      <c r="I32" s="1">
        <f>IF('Interfaccia-macchina'!F11="0","",1)</f>
        <v>1</v>
      </c>
      <c r="J32" s="1">
        <f>IF('Interfaccia-macchina'!F11="0","",1)</f>
        <v>1</v>
      </c>
      <c r="L32" s="1" t="str">
        <f>IF('Interfaccia-macchina'!H11="0","",1)</f>
        <v/>
      </c>
      <c r="M32" s="1" t="str">
        <f>IF('Interfaccia-macchina'!H11="0","",1)</f>
        <v/>
      </c>
      <c r="N32" s="1" t="str">
        <f>IF('Interfaccia-macchina'!H11="0","",1)</f>
        <v/>
      </c>
      <c r="O32" s="1" t="str">
        <f>IF('Interfaccia-macchina'!H11="0","",1)</f>
        <v/>
      </c>
      <c r="P32" s="1" t="str">
        <f>IF('Interfaccia-macchina'!H11="0","",1)</f>
        <v/>
      </c>
      <c r="R32" s="1">
        <f>IF('Interfaccia-macchina'!D11="0","",1)</f>
        <v>1</v>
      </c>
      <c r="S32" s="1">
        <f>IF('Interfaccia-macchina'!D11="0","",1)</f>
        <v>1</v>
      </c>
      <c r="T32" s="1">
        <f>IF('Interfaccia-macchina'!D11="0","",1)</f>
        <v>1</v>
      </c>
      <c r="U32" s="1">
        <f>IF('Interfaccia-macchina'!D11="0","",1)</f>
        <v>1</v>
      </c>
      <c r="V32" s="1">
        <f>IF('Interfaccia-macchina'!D11="0","",1)</f>
        <v>1</v>
      </c>
      <c r="W32" s="1">
        <f>IF('Interfaccia-macchina'!D11="0","",1)</f>
        <v>1</v>
      </c>
      <c r="X32" s="1">
        <f>IF('Interfaccia-macchina'!D11="0","",1)</f>
        <v>1</v>
      </c>
      <c r="AD32" s="1">
        <f>IF('Interfaccia-macchina'!F12="0","",1)</f>
        <v>1</v>
      </c>
      <c r="AE32" s="1">
        <f>IF('Interfaccia-macchina'!F12="0","",1)</f>
        <v>1</v>
      </c>
      <c r="AF32" s="1">
        <f>IF('Interfaccia-macchina'!F12="0","",1)</f>
        <v>1</v>
      </c>
      <c r="AG32" s="1">
        <f>IF('Interfaccia-macchina'!F12="0","",1)</f>
        <v>1</v>
      </c>
      <c r="AH32" s="1">
        <f>IF('Interfaccia-macchina'!F12="0","",1)</f>
        <v>1</v>
      </c>
      <c r="AI32" s="1">
        <f>IF('Interfaccia-macchina'!F12="0","",1)</f>
        <v>1</v>
      </c>
      <c r="AJ32" s="1">
        <f>IF('Interfaccia-macchina'!F12="0","",1)</f>
        <v>1</v>
      </c>
      <c r="AL32" s="1" t="str">
        <f>IF('Interfaccia-macchina'!H12="0","",1)</f>
        <v/>
      </c>
      <c r="AM32" s="1" t="str">
        <f>IF('Interfaccia-macchina'!H12="0","",1)</f>
        <v/>
      </c>
      <c r="AN32" s="1" t="str">
        <f>IF('Interfaccia-macchina'!H12="0","",1)</f>
        <v/>
      </c>
      <c r="AO32" s="1" t="str">
        <f>IF('Interfaccia-macchina'!H12="0","",1)</f>
        <v/>
      </c>
      <c r="AP32" s="1" t="str">
        <f>IF('Interfaccia-macchina'!H12="0","",1)</f>
        <v/>
      </c>
      <c r="AR32" s="1">
        <f>IF('Interfaccia-macchina'!D12="0","",1)</f>
        <v>1</v>
      </c>
      <c r="AS32" s="1">
        <f>IF('Interfaccia-macchina'!D12="0","",1)</f>
        <v>1</v>
      </c>
      <c r="AT32" s="1">
        <f>IF('Interfaccia-macchina'!D12="0","",1)</f>
        <v>1</v>
      </c>
      <c r="AU32" s="1">
        <f>IF('Interfaccia-macchina'!D12="0","",1)</f>
        <v>1</v>
      </c>
      <c r="AV32" s="1">
        <f>IF('Interfaccia-macchina'!D12="0","",1)</f>
        <v>1</v>
      </c>
      <c r="AW32" s="1">
        <f>IF('Interfaccia-macchina'!D12="0","",1)</f>
        <v>1</v>
      </c>
      <c r="AX32" s="1">
        <f>IF('Interfaccia-macchina'!D12="0","",1)</f>
        <v>1</v>
      </c>
    </row>
    <row r="33" spans="2:52" ht="7.5" customHeight="1" x14ac:dyDescent="0.25">
      <c r="C33" s="1">
        <f>IF('Interfaccia-macchina'!F11="0","",1)</f>
        <v>1</v>
      </c>
      <c r="D33" s="1">
        <f>IF('Interfaccia-macchina'!F11="0","",1)</f>
        <v>1</v>
      </c>
      <c r="E33" s="1">
        <f>IF('Interfaccia-macchina'!F11="0","",1)</f>
        <v>1</v>
      </c>
      <c r="F33" s="1">
        <f>IF('Interfaccia-macchina'!F11="0","",1)</f>
        <v>1</v>
      </c>
      <c r="G33" s="1">
        <f>IF('Interfaccia-macchina'!F11="0","",1)</f>
        <v>1</v>
      </c>
      <c r="H33" s="1">
        <f>IF('Interfaccia-macchina'!F11="0","",1)</f>
        <v>1</v>
      </c>
      <c r="I33" s="1">
        <f>IF('Interfaccia-macchina'!F11="0","",1)</f>
        <v>1</v>
      </c>
      <c r="J33" s="1">
        <f>IF('Interfaccia-macchina'!F11="0","",1)</f>
        <v>1</v>
      </c>
      <c r="K33" s="1">
        <f>IF('Interfaccia-macchina'!F11="0","",1)</f>
        <v>1</v>
      </c>
      <c r="M33" s="1" t="str">
        <f>IF('Interfaccia-macchina'!H11="0","",1)</f>
        <v/>
      </c>
      <c r="N33" s="1" t="str">
        <f>IF('Interfaccia-macchina'!H11="0","",1)</f>
        <v/>
      </c>
      <c r="O33" s="1" t="str">
        <f>IF('Interfaccia-macchina'!H11="0","",1)</f>
        <v/>
      </c>
      <c r="Q33" s="1">
        <f>IF('Interfaccia-macchina'!D11="0","",1)</f>
        <v>1</v>
      </c>
      <c r="R33" s="1">
        <f>IF('Interfaccia-macchina'!D11="0","",1)</f>
        <v>1</v>
      </c>
      <c r="S33" s="1">
        <f>IF('Interfaccia-macchina'!D11="0","",1)</f>
        <v>1</v>
      </c>
      <c r="T33" s="1">
        <f>IF('Interfaccia-macchina'!D11="0","",1)</f>
        <v>1</v>
      </c>
      <c r="U33" s="1">
        <f>IF('Interfaccia-macchina'!D11="0","",1)</f>
        <v>1</v>
      </c>
      <c r="V33" s="1">
        <f>IF('Interfaccia-macchina'!D11="0","",1)</f>
        <v>1</v>
      </c>
      <c r="W33" s="1">
        <f>IF('Interfaccia-macchina'!D11="0","",1)</f>
        <v>1</v>
      </c>
      <c r="X33" s="1">
        <f>IF('Interfaccia-macchina'!D11="0","",1)</f>
        <v>1</v>
      </c>
      <c r="Y33" s="1">
        <f>IF('Interfaccia-macchina'!D11="0","",1)</f>
        <v>1</v>
      </c>
      <c r="AC33" s="1">
        <f>IF('Interfaccia-macchina'!F12="0","",1)</f>
        <v>1</v>
      </c>
      <c r="AD33" s="1">
        <f>IF('Interfaccia-macchina'!F12="0","",1)</f>
        <v>1</v>
      </c>
      <c r="AE33" s="1">
        <f>IF('Interfaccia-macchina'!F12="0","",1)</f>
        <v>1</v>
      </c>
      <c r="AF33" s="1">
        <f>IF('Interfaccia-macchina'!F12="0","",1)</f>
        <v>1</v>
      </c>
      <c r="AG33" s="1">
        <f>IF('Interfaccia-macchina'!F12="0","",1)</f>
        <v>1</v>
      </c>
      <c r="AH33" s="1">
        <f>IF('Interfaccia-macchina'!F12="0","",1)</f>
        <v>1</v>
      </c>
      <c r="AI33" s="1">
        <f>IF('Interfaccia-macchina'!F12="0","",1)</f>
        <v>1</v>
      </c>
      <c r="AJ33" s="1">
        <f>IF('Interfaccia-macchina'!F12="0","",1)</f>
        <v>1</v>
      </c>
      <c r="AK33" s="1">
        <f>IF('Interfaccia-macchina'!F12="0","",1)</f>
        <v>1</v>
      </c>
      <c r="AM33" s="1" t="str">
        <f>IF('Interfaccia-macchina'!H12="0","",1)</f>
        <v/>
      </c>
      <c r="AN33" s="1" t="str">
        <f>IF('Interfaccia-macchina'!H12="0","",1)</f>
        <v/>
      </c>
      <c r="AO33" s="1" t="str">
        <f>IF('Interfaccia-macchina'!H12="0","",1)</f>
        <v/>
      </c>
      <c r="AQ33" s="1">
        <f>IF('Interfaccia-macchina'!D12="0","",1)</f>
        <v>1</v>
      </c>
      <c r="AR33" s="1">
        <f>IF('Interfaccia-macchina'!D12="0","",1)</f>
        <v>1</v>
      </c>
      <c r="AS33" s="1">
        <f>IF('Interfaccia-macchina'!D12="0","",1)</f>
        <v>1</v>
      </c>
      <c r="AT33" s="1">
        <f>IF('Interfaccia-macchina'!D12="0","",1)</f>
        <v>1</v>
      </c>
      <c r="AU33" s="1">
        <f>IF('Interfaccia-macchina'!D12="0","",1)</f>
        <v>1</v>
      </c>
      <c r="AV33" s="1">
        <f>IF('Interfaccia-macchina'!D12="0","",1)</f>
        <v>1</v>
      </c>
      <c r="AW33" s="1">
        <f>IF('Interfaccia-macchina'!D12="0","",1)</f>
        <v>1</v>
      </c>
      <c r="AX33" s="1">
        <f>IF('Interfaccia-macchina'!D12="0","",1)</f>
        <v>1</v>
      </c>
      <c r="AY33" s="1">
        <f>IF('Interfaccia-macchina'!D12="0","",1)</f>
        <v>1</v>
      </c>
    </row>
    <row r="34" spans="2:52" ht="15" customHeight="1" x14ac:dyDescent="0.25">
      <c r="B34" s="1">
        <f>IF('Interfaccia-macchina'!F11="0","",1)</f>
        <v>1</v>
      </c>
      <c r="C34" s="1">
        <f>IF('Interfaccia-macchina'!F11="0","",1)</f>
        <v>1</v>
      </c>
      <c r="D34" s="1">
        <f>IF('Interfaccia-macchina'!F11="0","",1)</f>
        <v>1</v>
      </c>
      <c r="E34" s="1">
        <f>IF('Interfaccia-macchina'!F11="0","",1)</f>
        <v>1</v>
      </c>
      <c r="F34" s="1">
        <f>IF('Interfaccia-macchina'!F11="0","",1)</f>
        <v>1</v>
      </c>
      <c r="G34" s="1">
        <f>IF('Interfaccia-macchina'!F11="0","",1)</f>
        <v>1</v>
      </c>
      <c r="H34" s="1">
        <f>IF('Interfaccia-macchina'!F11="0","",1)</f>
        <v>1</v>
      </c>
      <c r="I34" s="1">
        <f>IF('Interfaccia-macchina'!F11="0","",1)</f>
        <v>1</v>
      </c>
      <c r="J34" s="1">
        <f>IF('Interfaccia-macchina'!F11="0","",1)</f>
        <v>1</v>
      </c>
      <c r="K34" s="1">
        <f>IF('Interfaccia-macchina'!F11="0","",1)</f>
        <v>1</v>
      </c>
      <c r="L34" s="1">
        <f>IF('Interfaccia-macchina'!F11="0","",1)</f>
        <v>1</v>
      </c>
      <c r="P34" s="1">
        <f>IF('Interfaccia-macchina'!D11="0","",1)</f>
        <v>1</v>
      </c>
      <c r="Q34" s="1">
        <f>IF('Interfaccia-macchina'!D11="0","",1)</f>
        <v>1</v>
      </c>
      <c r="R34" s="1">
        <f>IF('Interfaccia-macchina'!D11="0","",1)</f>
        <v>1</v>
      </c>
      <c r="S34" s="1">
        <f>IF('Interfaccia-macchina'!D11="0","",1)</f>
        <v>1</v>
      </c>
      <c r="T34" s="1">
        <f>IF('Interfaccia-macchina'!D11="0","",1)</f>
        <v>1</v>
      </c>
      <c r="U34" s="1">
        <f>IF('Interfaccia-macchina'!D11="0","",1)</f>
        <v>1</v>
      </c>
      <c r="V34" s="1">
        <f>IF('Interfaccia-macchina'!D11="0","",1)</f>
        <v>1</v>
      </c>
      <c r="W34" s="1">
        <f>IF('Interfaccia-macchina'!D11="0","",1)</f>
        <v>1</v>
      </c>
      <c r="X34" s="1">
        <f>IF('Interfaccia-macchina'!D11="0","",1)</f>
        <v>1</v>
      </c>
      <c r="Y34" s="1">
        <f>IF('Interfaccia-macchina'!D11="0","",1)</f>
        <v>1</v>
      </c>
      <c r="Z34" s="1">
        <f>IF('Interfaccia-macchina'!D11="0","",1)</f>
        <v>1</v>
      </c>
      <c r="AB34" s="1">
        <f>IF('Interfaccia-macchina'!F12="0","",1)</f>
        <v>1</v>
      </c>
      <c r="AC34" s="1">
        <f>IF('Interfaccia-macchina'!F12="0","",1)</f>
        <v>1</v>
      </c>
      <c r="AD34" s="1">
        <f>IF('Interfaccia-macchina'!F12="0","",1)</f>
        <v>1</v>
      </c>
      <c r="AE34" s="1">
        <f>IF('Interfaccia-macchina'!F12="0","",1)</f>
        <v>1</v>
      </c>
      <c r="AF34" s="1">
        <f>IF('Interfaccia-macchina'!F12="0","",1)</f>
        <v>1</v>
      </c>
      <c r="AG34" s="1">
        <f>IF('Interfaccia-macchina'!F12="0","",1)</f>
        <v>1</v>
      </c>
      <c r="AH34" s="1">
        <f>IF('Interfaccia-macchina'!F12="0","",1)</f>
        <v>1</v>
      </c>
      <c r="AI34" s="1">
        <f>IF('Interfaccia-macchina'!F12="0","",1)</f>
        <v>1</v>
      </c>
      <c r="AJ34" s="1">
        <f>IF('Interfaccia-macchina'!F12="0","",1)</f>
        <v>1</v>
      </c>
      <c r="AK34" s="1">
        <f>IF('Interfaccia-macchina'!F12="0","",1)</f>
        <v>1</v>
      </c>
      <c r="AL34" s="1">
        <f>IF('Interfaccia-macchina'!F12="0","",1)</f>
        <v>1</v>
      </c>
      <c r="AP34" s="1">
        <f>IF('Interfaccia-macchina'!D12="0","",1)</f>
        <v>1</v>
      </c>
      <c r="AQ34" s="1">
        <f>IF('Interfaccia-macchina'!D12="0","",1)</f>
        <v>1</v>
      </c>
      <c r="AR34" s="1">
        <f>IF('Interfaccia-macchina'!D12="0","",1)</f>
        <v>1</v>
      </c>
      <c r="AS34" s="1">
        <f>IF('Interfaccia-macchina'!D12="0","",1)</f>
        <v>1</v>
      </c>
      <c r="AT34" s="1">
        <f>IF('Interfaccia-macchina'!D12="0","",1)</f>
        <v>1</v>
      </c>
      <c r="AU34" s="1">
        <f>IF('Interfaccia-macchina'!D12="0","",1)</f>
        <v>1</v>
      </c>
      <c r="AV34" s="1">
        <f>IF('Interfaccia-macchina'!D12="0","",1)</f>
        <v>1</v>
      </c>
      <c r="AW34" s="1">
        <f>IF('Interfaccia-macchina'!D12="0","",1)</f>
        <v>1</v>
      </c>
      <c r="AX34" s="1">
        <f>IF('Interfaccia-macchina'!D12="0","",1)</f>
        <v>1</v>
      </c>
      <c r="AY34" s="1">
        <f>IF('Interfaccia-macchina'!D12="0","",1)</f>
        <v>1</v>
      </c>
      <c r="AZ34" s="1">
        <f>IF('Interfaccia-macchina'!D12="0","",1)</f>
        <v>1</v>
      </c>
    </row>
    <row r="35" spans="2:52" ht="204.6" customHeight="1" x14ac:dyDescent="0.25">
      <c r="B35" s="1">
        <f>IF('Interfaccia-macchina'!F11="0","",1)</f>
        <v>1</v>
      </c>
      <c r="C35" s="1">
        <f>IF('Interfaccia-macchina'!F11="0","",1)</f>
        <v>1</v>
      </c>
      <c r="D35" s="1">
        <f>IF('Interfaccia-macchina'!F11="0","",1)</f>
        <v>1</v>
      </c>
      <c r="E35" s="1">
        <f>IF('Interfaccia-macchina'!F11="0","",1)</f>
        <v>1</v>
      </c>
      <c r="F35" s="1">
        <f>IF('Interfaccia-macchina'!F11="0","",1)</f>
        <v>1</v>
      </c>
      <c r="G35" s="1">
        <f>IF('Interfaccia-macchina'!F11="0","",1)</f>
        <v>1</v>
      </c>
      <c r="H35" s="1">
        <f>IF('Interfaccia-macchina'!F11="0","",1)</f>
        <v>1</v>
      </c>
      <c r="I35" s="1">
        <f>IF('Interfaccia-macchina'!F11="0","",1)</f>
        <v>1</v>
      </c>
      <c r="J35" s="1">
        <f>IF('Interfaccia-macchina'!F11="0","",1)</f>
        <v>1</v>
      </c>
      <c r="K35" s="1">
        <f>IF('Interfaccia-macchina'!F11="0","",1)</f>
        <v>1</v>
      </c>
      <c r="L35" s="1">
        <f>IF('Interfaccia-macchina'!F11="0","",1)</f>
        <v>1</v>
      </c>
      <c r="P35" s="1">
        <f>IF('Interfaccia-macchina'!D11="0","",1)</f>
        <v>1</v>
      </c>
      <c r="Q35" s="1">
        <f>IF('Interfaccia-macchina'!D11="0","",1)</f>
        <v>1</v>
      </c>
      <c r="R35" s="1">
        <f>IF('Interfaccia-macchina'!D11="0","",1)</f>
        <v>1</v>
      </c>
      <c r="S35" s="1">
        <f>IF('Interfaccia-macchina'!D11="0","",1)</f>
        <v>1</v>
      </c>
      <c r="T35" s="1">
        <f>IF('Interfaccia-macchina'!D11="0","",1)</f>
        <v>1</v>
      </c>
      <c r="U35" s="1">
        <f>IF('Interfaccia-macchina'!D11="0","",1)</f>
        <v>1</v>
      </c>
      <c r="V35" s="1">
        <f>IF('Interfaccia-macchina'!D11="0","",1)</f>
        <v>1</v>
      </c>
      <c r="W35" s="1">
        <f>IF('Interfaccia-macchina'!D11="0","",1)</f>
        <v>1</v>
      </c>
      <c r="X35" s="1">
        <f>IF('Interfaccia-macchina'!D11="0","",1)</f>
        <v>1</v>
      </c>
      <c r="Y35" s="1">
        <f>IF('Interfaccia-macchina'!D11="0","",1)</f>
        <v>1</v>
      </c>
      <c r="Z35" s="1">
        <f>IF('Interfaccia-macchina'!D11="0","",1)</f>
        <v>1</v>
      </c>
      <c r="AB35" s="1">
        <f>IF('Interfaccia-macchina'!F12="0","",1)</f>
        <v>1</v>
      </c>
      <c r="AC35" s="1">
        <f>IF('Interfaccia-macchina'!F12="0","",1)</f>
        <v>1</v>
      </c>
      <c r="AD35" s="1">
        <f>IF('Interfaccia-macchina'!F12="0","",1)</f>
        <v>1</v>
      </c>
      <c r="AE35" s="1">
        <f>IF('Interfaccia-macchina'!F12="0","",1)</f>
        <v>1</v>
      </c>
      <c r="AF35" s="1">
        <f>IF('Interfaccia-macchina'!F12="0","",1)</f>
        <v>1</v>
      </c>
      <c r="AG35" s="1">
        <f>IF('Interfaccia-macchina'!F12="0","",1)</f>
        <v>1</v>
      </c>
      <c r="AH35" s="1">
        <f>IF('Interfaccia-macchina'!F12="0","",1)</f>
        <v>1</v>
      </c>
      <c r="AI35" s="1">
        <f>IF('Interfaccia-macchina'!F12="0","",1)</f>
        <v>1</v>
      </c>
      <c r="AJ35" s="1">
        <f>IF('Interfaccia-macchina'!F12="0","",1)</f>
        <v>1</v>
      </c>
      <c r="AK35" s="1">
        <f>IF('Interfaccia-macchina'!F12="0","",1)</f>
        <v>1</v>
      </c>
      <c r="AL35" s="1">
        <f>IF('Interfaccia-macchina'!F12="0","",1)</f>
        <v>1</v>
      </c>
      <c r="AP35" s="1">
        <f>IF('Interfaccia-macchina'!D12="0","",1)</f>
        <v>1</v>
      </c>
      <c r="AQ35" s="1">
        <f>IF('Interfaccia-macchina'!D12="0","",1)</f>
        <v>1</v>
      </c>
      <c r="AR35" s="1">
        <f>IF('Interfaccia-macchina'!D12="0","",1)</f>
        <v>1</v>
      </c>
      <c r="AS35" s="1">
        <f>IF('Interfaccia-macchina'!D12="0","",1)</f>
        <v>1</v>
      </c>
      <c r="AT35" s="1">
        <f>IF('Interfaccia-macchina'!D12="0","",1)</f>
        <v>1</v>
      </c>
      <c r="AU35" s="1">
        <f>IF('Interfaccia-macchina'!D12="0","",1)</f>
        <v>1</v>
      </c>
      <c r="AV35" s="1">
        <f>IF('Interfaccia-macchina'!D12="0","",1)</f>
        <v>1</v>
      </c>
      <c r="AW35" s="1">
        <f>IF('Interfaccia-macchina'!D12="0","",1)</f>
        <v>1</v>
      </c>
      <c r="AX35" s="1">
        <f>IF('Interfaccia-macchina'!D12="0","",1)</f>
        <v>1</v>
      </c>
      <c r="AY35" s="1">
        <f>IF('Interfaccia-macchina'!D12="0","",1)</f>
        <v>1</v>
      </c>
      <c r="AZ35" s="1">
        <f>IF('Interfaccia-macchina'!D12="0","",1)</f>
        <v>1</v>
      </c>
    </row>
    <row r="36" spans="2:52" x14ac:dyDescent="0.25">
      <c r="B36" s="1">
        <f>IF('Interfaccia-macchina'!F11="0","",1)</f>
        <v>1</v>
      </c>
      <c r="C36" s="1">
        <f>IF('Interfaccia-macchina'!F11="0","",1)</f>
        <v>1</v>
      </c>
      <c r="D36" s="1">
        <f>IF('Interfaccia-macchina'!F11="0","",1)</f>
        <v>1</v>
      </c>
      <c r="E36" s="1">
        <f>IF('Interfaccia-macchina'!F11="0","",1)</f>
        <v>1</v>
      </c>
      <c r="F36" s="1">
        <f>IF('Interfaccia-macchina'!F11="0","",1)</f>
        <v>1</v>
      </c>
      <c r="G36" s="1">
        <f>IF('Interfaccia-macchina'!F11="0","",1)</f>
        <v>1</v>
      </c>
      <c r="H36" s="1">
        <f>IF('Interfaccia-macchina'!F11="0","",1)</f>
        <v>1</v>
      </c>
      <c r="I36" s="1">
        <f>IF('Interfaccia-macchina'!F11="0","",1)</f>
        <v>1</v>
      </c>
      <c r="J36" s="1">
        <f>IF('Interfaccia-macchina'!F11="0","",1)</f>
        <v>1</v>
      </c>
      <c r="K36" s="1">
        <f>IF('Interfaccia-macchina'!F11="0","",1)</f>
        <v>1</v>
      </c>
      <c r="L36" s="1">
        <f>IF('Interfaccia-macchina'!F11="0","",1)</f>
        <v>1</v>
      </c>
      <c r="P36" s="1">
        <f>IF('Interfaccia-macchina'!D11="0","",1)</f>
        <v>1</v>
      </c>
      <c r="Q36" s="1">
        <f>IF('Interfaccia-macchina'!D11="0","",1)</f>
        <v>1</v>
      </c>
      <c r="R36" s="1">
        <f>IF('Interfaccia-macchina'!D11="0","",1)</f>
        <v>1</v>
      </c>
      <c r="S36" s="1">
        <f>IF('Interfaccia-macchina'!D11="0","",1)</f>
        <v>1</v>
      </c>
      <c r="T36" s="1">
        <f>IF('Interfaccia-macchina'!D11="0","",1)</f>
        <v>1</v>
      </c>
      <c r="U36" s="1">
        <f>IF('Interfaccia-macchina'!D11="0","",1)</f>
        <v>1</v>
      </c>
      <c r="V36" s="1">
        <f>IF('Interfaccia-macchina'!D11="0","",1)</f>
        <v>1</v>
      </c>
      <c r="W36" s="1">
        <f>IF('Interfaccia-macchina'!D11="0","",1)</f>
        <v>1</v>
      </c>
      <c r="X36" s="1">
        <f>IF('Interfaccia-macchina'!D11="0","",1)</f>
        <v>1</v>
      </c>
      <c r="Y36" s="1">
        <f>IF('Interfaccia-macchina'!D11="0","",1)</f>
        <v>1</v>
      </c>
      <c r="Z36" s="1">
        <f>IF('Interfaccia-macchina'!D11="0","",1)</f>
        <v>1</v>
      </c>
      <c r="AB36" s="1">
        <f>IF('Interfaccia-macchina'!F12="0","",1)</f>
        <v>1</v>
      </c>
      <c r="AC36" s="1">
        <f>IF('Interfaccia-macchina'!F12="0","",1)</f>
        <v>1</v>
      </c>
      <c r="AD36" s="1">
        <f>IF('Interfaccia-macchina'!F12="0","",1)</f>
        <v>1</v>
      </c>
      <c r="AE36" s="1">
        <f>IF('Interfaccia-macchina'!F12="0","",1)</f>
        <v>1</v>
      </c>
      <c r="AF36" s="1">
        <f>IF('Interfaccia-macchina'!F12="0","",1)</f>
        <v>1</v>
      </c>
      <c r="AG36" s="1">
        <f>IF('Interfaccia-macchina'!F12="0","",1)</f>
        <v>1</v>
      </c>
      <c r="AH36" s="1">
        <f>IF('Interfaccia-macchina'!F12="0","",1)</f>
        <v>1</v>
      </c>
      <c r="AI36" s="1">
        <f>IF('Interfaccia-macchina'!F12="0","",1)</f>
        <v>1</v>
      </c>
      <c r="AJ36" s="1">
        <f>IF('Interfaccia-macchina'!F12="0","",1)</f>
        <v>1</v>
      </c>
      <c r="AK36" s="1">
        <f>IF('Interfaccia-macchina'!F12="0","",1)</f>
        <v>1</v>
      </c>
      <c r="AL36" s="1">
        <f>IF('Interfaccia-macchina'!F12="0","",1)</f>
        <v>1</v>
      </c>
      <c r="AP36" s="1">
        <f>IF('Interfaccia-macchina'!D12="0","",1)</f>
        <v>1</v>
      </c>
      <c r="AQ36" s="1">
        <f>IF('Interfaccia-macchina'!D12="0","",1)</f>
        <v>1</v>
      </c>
      <c r="AR36" s="1">
        <f>IF('Interfaccia-macchina'!D12="0","",1)</f>
        <v>1</v>
      </c>
      <c r="AS36" s="1">
        <f>IF('Interfaccia-macchina'!D12="0","",1)</f>
        <v>1</v>
      </c>
      <c r="AT36" s="1">
        <f>IF('Interfaccia-macchina'!D12="0","",1)</f>
        <v>1</v>
      </c>
      <c r="AU36" s="1">
        <f>IF('Interfaccia-macchina'!D12="0","",1)</f>
        <v>1</v>
      </c>
      <c r="AV36" s="1">
        <f>IF('Interfaccia-macchina'!D12="0","",1)</f>
        <v>1</v>
      </c>
      <c r="AW36" s="1">
        <f>IF('Interfaccia-macchina'!D12="0","",1)</f>
        <v>1</v>
      </c>
      <c r="AX36" s="1">
        <f>IF('Interfaccia-macchina'!D12="0","",1)</f>
        <v>1</v>
      </c>
      <c r="AY36" s="1">
        <f>IF('Interfaccia-macchina'!D12="0","",1)</f>
        <v>1</v>
      </c>
      <c r="AZ36" s="1">
        <f>IF('Interfaccia-macchina'!D12="0","",1)</f>
        <v>1</v>
      </c>
    </row>
    <row r="37" spans="2:52" ht="7.5" customHeight="1" x14ac:dyDescent="0.25">
      <c r="C37" s="1">
        <f>IF('Interfaccia-macchina'!F11="0","",1)</f>
        <v>1</v>
      </c>
      <c r="D37" s="1">
        <f>IF('Interfaccia-macchina'!F11="0","",1)</f>
        <v>1</v>
      </c>
      <c r="E37" s="1">
        <f>IF('Interfaccia-macchina'!F11="0","",1)</f>
        <v>1</v>
      </c>
      <c r="F37" s="1">
        <f>IF('Interfaccia-macchina'!F11="0","",1)</f>
        <v>1</v>
      </c>
      <c r="G37" s="1">
        <f>IF('Interfaccia-macchina'!F11="0","",1)</f>
        <v>1</v>
      </c>
      <c r="H37" s="1">
        <f>IF('Interfaccia-macchina'!F11="0","",1)</f>
        <v>1</v>
      </c>
      <c r="I37" s="1">
        <f>IF('Interfaccia-macchina'!F11="0","",1)</f>
        <v>1</v>
      </c>
      <c r="J37" s="1">
        <f>IF('Interfaccia-macchina'!F11="0","",1)</f>
        <v>1</v>
      </c>
      <c r="K37" s="1">
        <f>IF('Interfaccia-macchina'!F11="0","",1)</f>
        <v>1</v>
      </c>
      <c r="M37" s="1">
        <f>IF('Interfaccia-macchina'!E11="0","",1)</f>
        <v>1</v>
      </c>
      <c r="N37" s="1">
        <f>IF('Interfaccia-macchina'!E11="0","",1)</f>
        <v>1</v>
      </c>
      <c r="O37" s="1">
        <f>IF('Interfaccia-macchina'!E11="0","",1)</f>
        <v>1</v>
      </c>
      <c r="Q37" s="1">
        <f>IF('Interfaccia-macchina'!D11="0","",1)</f>
        <v>1</v>
      </c>
      <c r="R37" s="1">
        <f>IF('Interfaccia-macchina'!D11="0","",1)</f>
        <v>1</v>
      </c>
      <c r="S37" s="1">
        <f>IF('Interfaccia-macchina'!D11="0","",1)</f>
        <v>1</v>
      </c>
      <c r="T37" s="1">
        <f>IF('Interfaccia-macchina'!D11="0","",1)</f>
        <v>1</v>
      </c>
      <c r="U37" s="1">
        <f>IF('Interfaccia-macchina'!D11="0","",1)</f>
        <v>1</v>
      </c>
      <c r="V37" s="1">
        <f>IF('Interfaccia-macchina'!D11="0","",1)</f>
        <v>1</v>
      </c>
      <c r="W37" s="1">
        <f>IF('Interfaccia-macchina'!D11="0","",1)</f>
        <v>1</v>
      </c>
      <c r="X37" s="1">
        <f>IF('Interfaccia-macchina'!D11="0","",1)</f>
        <v>1</v>
      </c>
      <c r="Y37" s="1">
        <f>IF('Interfaccia-macchina'!D11="0","",1)</f>
        <v>1</v>
      </c>
      <c r="AC37" s="1">
        <f>IF('Interfaccia-macchina'!F12="0","",1)</f>
        <v>1</v>
      </c>
      <c r="AD37" s="1">
        <f>IF('Interfaccia-macchina'!F12="0","",1)</f>
        <v>1</v>
      </c>
      <c r="AE37" s="1">
        <f>IF('Interfaccia-macchina'!F12="0","",1)</f>
        <v>1</v>
      </c>
      <c r="AF37" s="1">
        <f>IF('Interfaccia-macchina'!F12="0","",1)</f>
        <v>1</v>
      </c>
      <c r="AG37" s="1">
        <f>IF('Interfaccia-macchina'!F12="0","",1)</f>
        <v>1</v>
      </c>
      <c r="AH37" s="1">
        <f>IF('Interfaccia-macchina'!F12="0","",1)</f>
        <v>1</v>
      </c>
      <c r="AI37" s="1">
        <f>IF('Interfaccia-macchina'!F12="0","",1)</f>
        <v>1</v>
      </c>
      <c r="AJ37" s="1">
        <f>IF('Interfaccia-macchina'!F12="0","",1)</f>
        <v>1</v>
      </c>
      <c r="AK37" s="1">
        <f>IF('Interfaccia-macchina'!F12="0","",1)</f>
        <v>1</v>
      </c>
      <c r="AM37" s="1">
        <f>IF('Interfaccia-macchina'!E12="0","",1)</f>
        <v>1</v>
      </c>
      <c r="AN37" s="1">
        <f>IF('Interfaccia-macchina'!E12="0","",1)</f>
        <v>1</v>
      </c>
      <c r="AO37" s="1">
        <f>IF('Interfaccia-macchina'!E12="0","",1)</f>
        <v>1</v>
      </c>
      <c r="AQ37" s="1">
        <f>IF('Interfaccia-macchina'!D12="0","",1)</f>
        <v>1</v>
      </c>
      <c r="AR37" s="1">
        <f>IF('Interfaccia-macchina'!D12="0","",1)</f>
        <v>1</v>
      </c>
      <c r="AS37" s="1">
        <f>IF('Interfaccia-macchina'!D12="0","",1)</f>
        <v>1</v>
      </c>
      <c r="AT37" s="1">
        <f>IF('Interfaccia-macchina'!D12="0","",1)</f>
        <v>1</v>
      </c>
      <c r="AU37" s="1">
        <f>IF('Interfaccia-macchina'!D12="0","",1)</f>
        <v>1</v>
      </c>
      <c r="AV37" s="1">
        <f>IF('Interfaccia-macchina'!D12="0","",1)</f>
        <v>1</v>
      </c>
      <c r="AW37" s="1">
        <f>IF('Interfaccia-macchina'!D12="0","",1)</f>
        <v>1</v>
      </c>
      <c r="AX37" s="1">
        <f>IF('Interfaccia-macchina'!D12="0","",1)</f>
        <v>1</v>
      </c>
      <c r="AY37" s="1">
        <f>IF('Interfaccia-macchina'!D12="0","",1)</f>
        <v>1</v>
      </c>
    </row>
    <row r="38" spans="2:52" ht="7.5" customHeight="1" x14ac:dyDescent="0.25">
      <c r="D38" s="1">
        <f>IF('Interfaccia-macchina'!F11="0","",1)</f>
        <v>1</v>
      </c>
      <c r="E38" s="1">
        <f>IF('Interfaccia-macchina'!F11="0","",1)</f>
        <v>1</v>
      </c>
      <c r="F38" s="1">
        <f>IF('Interfaccia-macchina'!F11="0","",1)</f>
        <v>1</v>
      </c>
      <c r="G38" s="1">
        <f>IF('Interfaccia-macchina'!F11="0","",1)</f>
        <v>1</v>
      </c>
      <c r="H38" s="1">
        <f>IF('Interfaccia-macchina'!F11="0","",1)</f>
        <v>1</v>
      </c>
      <c r="I38" s="1">
        <f>IF('Interfaccia-macchina'!F11="0","",1)</f>
        <v>1</v>
      </c>
      <c r="J38" s="1">
        <f>IF('Interfaccia-macchina'!F11="0","",1)</f>
        <v>1</v>
      </c>
      <c r="L38" s="1">
        <f>IF('Interfaccia-macchina'!E11="0","",1)</f>
        <v>1</v>
      </c>
      <c r="M38" s="1">
        <f>IF('Interfaccia-macchina'!E11="0","",1)</f>
        <v>1</v>
      </c>
      <c r="N38" s="1">
        <f>IF('Interfaccia-macchina'!E11="0","",1)</f>
        <v>1</v>
      </c>
      <c r="O38" s="1">
        <f>IF('Interfaccia-macchina'!E11="0","",1)</f>
        <v>1</v>
      </c>
      <c r="P38" s="1">
        <f>IF('Interfaccia-macchina'!E11="0","",1)</f>
        <v>1</v>
      </c>
      <c r="R38" s="1">
        <f>IF('Interfaccia-macchina'!D11="0","",1)</f>
        <v>1</v>
      </c>
      <c r="S38" s="1">
        <f>IF('Interfaccia-macchina'!D11="0","",1)</f>
        <v>1</v>
      </c>
      <c r="T38" s="1">
        <f>IF('Interfaccia-macchina'!D11="0","",1)</f>
        <v>1</v>
      </c>
      <c r="U38" s="1">
        <f>IF('Interfaccia-macchina'!D11="0","",1)</f>
        <v>1</v>
      </c>
      <c r="V38" s="1">
        <f>IF('Interfaccia-macchina'!D11="0","",1)</f>
        <v>1</v>
      </c>
      <c r="W38" s="1">
        <f>IF('Interfaccia-macchina'!D11="0","",1)</f>
        <v>1</v>
      </c>
      <c r="X38" s="1">
        <f>IF('Interfaccia-macchina'!D11="0","",1)</f>
        <v>1</v>
      </c>
      <c r="AD38" s="1">
        <f>IF('Interfaccia-macchina'!F12="0","",1)</f>
        <v>1</v>
      </c>
      <c r="AE38" s="1">
        <f>IF('Interfaccia-macchina'!F12="0","",1)</f>
        <v>1</v>
      </c>
      <c r="AF38" s="1">
        <f>IF('Interfaccia-macchina'!F12="0","",1)</f>
        <v>1</v>
      </c>
      <c r="AG38" s="1">
        <f>IF('Interfaccia-macchina'!F12="0","",1)</f>
        <v>1</v>
      </c>
      <c r="AH38" s="1">
        <f>IF('Interfaccia-macchina'!F12="0","",1)</f>
        <v>1</v>
      </c>
      <c r="AI38" s="1">
        <f>IF('Interfaccia-macchina'!F12="0","",1)</f>
        <v>1</v>
      </c>
      <c r="AJ38" s="1">
        <f>IF('Interfaccia-macchina'!F12="0","",1)</f>
        <v>1</v>
      </c>
      <c r="AL38" s="1">
        <f>IF('Interfaccia-macchina'!E12="0","",1)</f>
        <v>1</v>
      </c>
      <c r="AM38" s="1">
        <f>IF('Interfaccia-macchina'!E12="0","",1)</f>
        <v>1</v>
      </c>
      <c r="AN38" s="1">
        <f>IF('Interfaccia-macchina'!E12="0","",1)</f>
        <v>1</v>
      </c>
      <c r="AO38" s="1">
        <f>IF('Interfaccia-macchina'!E12="0","",1)</f>
        <v>1</v>
      </c>
      <c r="AP38" s="1">
        <f>IF('Interfaccia-macchina'!E12="0","",1)</f>
        <v>1</v>
      </c>
      <c r="AR38" s="1">
        <f>IF('Interfaccia-macchina'!D12="0","",1)</f>
        <v>1</v>
      </c>
      <c r="AS38" s="1">
        <f>IF('Interfaccia-macchina'!D12="0","",1)</f>
        <v>1</v>
      </c>
      <c r="AT38" s="1">
        <f>IF('Interfaccia-macchina'!D12="0","",1)</f>
        <v>1</v>
      </c>
      <c r="AU38" s="1">
        <f>IF('Interfaccia-macchina'!D12="0","",1)</f>
        <v>1</v>
      </c>
      <c r="AV38" s="1">
        <f>IF('Interfaccia-macchina'!D12="0","",1)</f>
        <v>1</v>
      </c>
      <c r="AW38" s="1">
        <f>IF('Interfaccia-macchina'!D12="0","",1)</f>
        <v>1</v>
      </c>
      <c r="AX38" s="1">
        <f>IF('Interfaccia-macchina'!D12="0","",1)</f>
        <v>1</v>
      </c>
    </row>
    <row r="39" spans="2:52" ht="7.5" customHeight="1" x14ac:dyDescent="0.25">
      <c r="E39" s="1">
        <f>IF('Interfaccia-macchina'!F11="0","",1)</f>
        <v>1</v>
      </c>
      <c r="F39" s="1">
        <f>IF('Interfaccia-macchina'!F11="0","",1)</f>
        <v>1</v>
      </c>
      <c r="G39" s="1">
        <f>IF('Interfaccia-macchina'!F11="0","",1)</f>
        <v>1</v>
      </c>
      <c r="H39" s="1">
        <f>IF('Interfaccia-macchina'!F11="0","",1)</f>
        <v>1</v>
      </c>
      <c r="I39" s="1">
        <f>IF('Interfaccia-macchina'!F11="0","",1)</f>
        <v>1</v>
      </c>
      <c r="K39" s="1">
        <f>IF('Interfaccia-macchina'!E11="0","",1)</f>
        <v>1</v>
      </c>
      <c r="L39" s="1">
        <f>IF('Interfaccia-macchina'!E11="0","",1)</f>
        <v>1</v>
      </c>
      <c r="M39" s="1">
        <f>IF('Interfaccia-macchina'!E11="0","",1)</f>
        <v>1</v>
      </c>
      <c r="N39" s="1">
        <f>IF('Interfaccia-macchina'!E11="0","",1)</f>
        <v>1</v>
      </c>
      <c r="O39" s="1">
        <f>IF('Interfaccia-macchina'!E11="0","",1)</f>
        <v>1</v>
      </c>
      <c r="P39" s="1">
        <f>IF('Interfaccia-macchina'!E11="0","",1)</f>
        <v>1</v>
      </c>
      <c r="Q39" s="1">
        <f>IF('Interfaccia-macchina'!E11="0","",1)</f>
        <v>1</v>
      </c>
      <c r="S39" s="1">
        <f>IF('Interfaccia-macchina'!D11="0","",1)</f>
        <v>1</v>
      </c>
      <c r="T39" s="1">
        <f>IF('Interfaccia-macchina'!D11="0","",1)</f>
        <v>1</v>
      </c>
      <c r="U39" s="1">
        <f>IF('Interfaccia-macchina'!D11="0","",1)</f>
        <v>1</v>
      </c>
      <c r="V39" s="1">
        <f>IF('Interfaccia-macchina'!D11="0","",1)</f>
        <v>1</v>
      </c>
      <c r="W39" s="1">
        <f>IF('Interfaccia-macchina'!D11="0","",1)</f>
        <v>1</v>
      </c>
      <c r="AE39" s="1">
        <f>IF('Interfaccia-macchina'!F12="0","",1)</f>
        <v>1</v>
      </c>
      <c r="AF39" s="1">
        <f>IF('Interfaccia-macchina'!F12="0","",1)</f>
        <v>1</v>
      </c>
      <c r="AG39" s="1">
        <f>IF('Interfaccia-macchina'!F12="0","",1)</f>
        <v>1</v>
      </c>
      <c r="AH39" s="1">
        <f>IF('Interfaccia-macchina'!F12="0","",1)</f>
        <v>1</v>
      </c>
      <c r="AI39" s="1">
        <f>IF('Interfaccia-macchina'!F12="0","",1)</f>
        <v>1</v>
      </c>
      <c r="AK39" s="1">
        <f>IF('Interfaccia-macchina'!E12="0","",1)</f>
        <v>1</v>
      </c>
      <c r="AL39" s="1">
        <f>IF('Interfaccia-macchina'!E12="0","",1)</f>
        <v>1</v>
      </c>
      <c r="AM39" s="1">
        <f>IF('Interfaccia-macchina'!E12="0","",1)</f>
        <v>1</v>
      </c>
      <c r="AN39" s="1">
        <f>IF('Interfaccia-macchina'!E12="0","",1)</f>
        <v>1</v>
      </c>
      <c r="AO39" s="1">
        <f>IF('Interfaccia-macchina'!E12="0","",1)</f>
        <v>1</v>
      </c>
      <c r="AP39" s="1">
        <f>IF('Interfaccia-macchina'!E12="0","",1)</f>
        <v>1</v>
      </c>
      <c r="AQ39" s="1">
        <f>IF('Interfaccia-macchina'!E12="0","",1)</f>
        <v>1</v>
      </c>
      <c r="AS39" s="1">
        <f>IF('Interfaccia-macchina'!D12="0","",1)</f>
        <v>1</v>
      </c>
      <c r="AT39" s="1">
        <f>IF('Interfaccia-macchina'!D12="0","",1)</f>
        <v>1</v>
      </c>
      <c r="AU39" s="1">
        <f>IF('Interfaccia-macchina'!D12="0","",1)</f>
        <v>1</v>
      </c>
      <c r="AV39" s="1">
        <f>IF('Interfaccia-macchina'!D12="0","",1)</f>
        <v>1</v>
      </c>
      <c r="AW39" s="1">
        <f>IF('Interfaccia-macchina'!D12="0","",1)</f>
        <v>1</v>
      </c>
    </row>
    <row r="40" spans="2:52" ht="7.5" customHeight="1" x14ac:dyDescent="0.25">
      <c r="F40" s="1">
        <f>IF('Interfaccia-macchina'!F11="0","",1)</f>
        <v>1</v>
      </c>
      <c r="G40" s="1">
        <f>IF('Interfaccia-macchina'!F11="0","",1)</f>
        <v>1</v>
      </c>
      <c r="H40" s="1">
        <f>IF('Interfaccia-macchina'!F11="0","",1)</f>
        <v>1</v>
      </c>
      <c r="J40" s="1">
        <f>IF('Interfaccia-macchina'!E11="0","",1)</f>
        <v>1</v>
      </c>
      <c r="K40" s="1">
        <f>IF('Interfaccia-macchina'!E11="0","",1)</f>
        <v>1</v>
      </c>
      <c r="L40" s="1">
        <f>IF('Interfaccia-macchina'!E11="0","",1)</f>
        <v>1</v>
      </c>
      <c r="M40" s="1">
        <f>IF('Interfaccia-macchina'!E11="0","",1)</f>
        <v>1</v>
      </c>
      <c r="N40" s="1">
        <f>IF('Interfaccia-macchina'!E11="0","",1)</f>
        <v>1</v>
      </c>
      <c r="O40" s="1">
        <f>IF('Interfaccia-macchina'!E11="0","",1)</f>
        <v>1</v>
      </c>
      <c r="P40" s="1">
        <f>IF('Interfaccia-macchina'!E11="0","",1)</f>
        <v>1</v>
      </c>
      <c r="Q40" s="1">
        <f>IF('Interfaccia-macchina'!E11="0","",1)</f>
        <v>1</v>
      </c>
      <c r="R40" s="1">
        <f>IF('Interfaccia-macchina'!E11="0","",1)</f>
        <v>1</v>
      </c>
      <c r="T40" s="1">
        <f>IF('Interfaccia-macchina'!D11="0","",1)</f>
        <v>1</v>
      </c>
      <c r="U40" s="1">
        <f>IF('Interfaccia-macchina'!D11="0","",1)</f>
        <v>1</v>
      </c>
      <c r="V40" s="1">
        <f>IF('Interfaccia-macchina'!D11="0","",1)</f>
        <v>1</v>
      </c>
      <c r="AF40" s="1">
        <f>IF('Interfaccia-macchina'!F12="0","",1)</f>
        <v>1</v>
      </c>
      <c r="AG40" s="1">
        <f>IF('Interfaccia-macchina'!F12="0","",1)</f>
        <v>1</v>
      </c>
      <c r="AH40" s="1">
        <f>IF('Interfaccia-macchina'!F12="0","",1)</f>
        <v>1</v>
      </c>
      <c r="AJ40" s="1">
        <f>IF('Interfaccia-macchina'!E12="0","",1)</f>
        <v>1</v>
      </c>
      <c r="AK40" s="1">
        <f>IF('Interfaccia-macchina'!E12="0","",1)</f>
        <v>1</v>
      </c>
      <c r="AL40" s="1">
        <f>IF('Interfaccia-macchina'!E12="0","",1)</f>
        <v>1</v>
      </c>
      <c r="AM40" s="1">
        <f>IF('Interfaccia-macchina'!E12="0","",1)</f>
        <v>1</v>
      </c>
      <c r="AN40" s="1">
        <f>IF('Interfaccia-macchina'!E12="0","",1)</f>
        <v>1</v>
      </c>
      <c r="AO40" s="1">
        <f>IF('Interfaccia-macchina'!E12="0","",1)</f>
        <v>1</v>
      </c>
      <c r="AP40" s="1">
        <f>IF('Interfaccia-macchina'!E12="0","",1)</f>
        <v>1</v>
      </c>
      <c r="AQ40" s="1">
        <f>IF('Interfaccia-macchina'!E12="0","",1)</f>
        <v>1</v>
      </c>
      <c r="AR40" s="1">
        <f>IF('Interfaccia-macchina'!E12="0","",1)</f>
        <v>1</v>
      </c>
      <c r="AT40" s="1">
        <f>IF('Interfaccia-macchina'!D12="0","",1)</f>
        <v>1</v>
      </c>
      <c r="AU40" s="1">
        <f>IF('Interfaccia-macchina'!D12="0","",1)</f>
        <v>1</v>
      </c>
      <c r="AV40" s="1">
        <f>IF('Interfaccia-macchina'!D12="0","",1)</f>
        <v>1</v>
      </c>
    </row>
    <row r="41" spans="2:52" ht="7.5" customHeight="1" x14ac:dyDescent="0.25">
      <c r="G41" s="1">
        <f>IF('Interfaccia-macchina'!F11="0","",1)</f>
        <v>1</v>
      </c>
      <c r="I41" s="1">
        <f>IF('Interfaccia-macchina'!E11="0","",1)</f>
        <v>1</v>
      </c>
      <c r="J41" s="1">
        <f>IF('Interfaccia-macchina'!E11="0","",1)</f>
        <v>1</v>
      </c>
      <c r="K41" s="1">
        <f>IF('Interfaccia-macchina'!E11="0","",1)</f>
        <v>1</v>
      </c>
      <c r="L41" s="1">
        <f>IF('Interfaccia-macchina'!E11="0","",1)</f>
        <v>1</v>
      </c>
      <c r="M41" s="1">
        <f>IF('Interfaccia-macchina'!E11="0","",1)</f>
        <v>1</v>
      </c>
      <c r="N41" s="1">
        <f>IF('Interfaccia-macchina'!E11="0","",1)</f>
        <v>1</v>
      </c>
      <c r="O41" s="1">
        <f>IF('Interfaccia-macchina'!E11="0","",1)</f>
        <v>1</v>
      </c>
      <c r="P41" s="1">
        <f>IF('Interfaccia-macchina'!E11="0","",1)</f>
        <v>1</v>
      </c>
      <c r="Q41" s="1">
        <f>IF('Interfaccia-macchina'!E11="0","",1)</f>
        <v>1</v>
      </c>
      <c r="R41" s="1">
        <f>IF('Interfaccia-macchina'!E11="0","",1)</f>
        <v>1</v>
      </c>
      <c r="S41" s="1">
        <f>IF('Interfaccia-macchina'!E11="0","",1)</f>
        <v>1</v>
      </c>
      <c r="U41" s="1">
        <f>IF('Interfaccia-macchina'!D11="0","",1)</f>
        <v>1</v>
      </c>
      <c r="AG41" s="1">
        <f>IF('Interfaccia-macchina'!F12="0","",1)</f>
        <v>1</v>
      </c>
      <c r="AI41" s="1">
        <f>IF('Interfaccia-macchina'!E12="0","",1)</f>
        <v>1</v>
      </c>
      <c r="AJ41" s="1">
        <f>IF('Interfaccia-macchina'!E12="0","",1)</f>
        <v>1</v>
      </c>
      <c r="AK41" s="1">
        <f>IF('Interfaccia-macchina'!E12="0","",1)</f>
        <v>1</v>
      </c>
      <c r="AL41" s="1">
        <f>IF('Interfaccia-macchina'!E12="0","",1)</f>
        <v>1</v>
      </c>
      <c r="AM41" s="1">
        <f>IF('Interfaccia-macchina'!E12="0","",1)</f>
        <v>1</v>
      </c>
      <c r="AN41" s="1">
        <f>IF('Interfaccia-macchina'!E12="0","",1)</f>
        <v>1</v>
      </c>
      <c r="AO41" s="1">
        <f>IF('Interfaccia-macchina'!E12="0","",1)</f>
        <v>1</v>
      </c>
      <c r="AP41" s="1">
        <f>IF('Interfaccia-macchina'!E12="0","",1)</f>
        <v>1</v>
      </c>
      <c r="AQ41" s="1">
        <f>IF('Interfaccia-macchina'!E12="0","",1)</f>
        <v>1</v>
      </c>
      <c r="AR41" s="1">
        <f>IF('Interfaccia-macchina'!E12="0","",1)</f>
        <v>1</v>
      </c>
      <c r="AS41" s="1">
        <f>IF('Interfaccia-macchina'!E12="0","",1)</f>
        <v>1</v>
      </c>
      <c r="AU41" s="1">
        <f>IF('Interfaccia-macchina'!D12="0","",1)</f>
        <v>1</v>
      </c>
    </row>
    <row r="42" spans="2:52" ht="7.5" customHeight="1" x14ac:dyDescent="0.25">
      <c r="H42" s="1">
        <f>IF('Interfaccia-macchina'!E11="0","",1)</f>
        <v>1</v>
      </c>
      <c r="I42" s="1">
        <f>IF('Interfaccia-macchina'!E11="0","",1)</f>
        <v>1</v>
      </c>
      <c r="J42" s="1">
        <f>IF('Interfaccia-macchina'!E11="0","",1)</f>
        <v>1</v>
      </c>
      <c r="K42" s="1">
        <f>IF('Interfaccia-macchina'!E11="0","",1)</f>
        <v>1</v>
      </c>
      <c r="L42" s="1">
        <f>IF('Interfaccia-macchina'!E11="0","",1)</f>
        <v>1</v>
      </c>
      <c r="M42" s="1">
        <f>IF('Interfaccia-macchina'!E11="0","",1)</f>
        <v>1</v>
      </c>
      <c r="N42" s="1">
        <f>IF('Interfaccia-macchina'!E11="0","",1)</f>
        <v>1</v>
      </c>
      <c r="O42" s="1">
        <f>IF('Interfaccia-macchina'!E11="0","",1)</f>
        <v>1</v>
      </c>
      <c r="P42" s="1">
        <f>IF('Interfaccia-macchina'!E11="0","",1)</f>
        <v>1</v>
      </c>
      <c r="Q42" s="1">
        <f>IF('Interfaccia-macchina'!E11="0","",1)</f>
        <v>1</v>
      </c>
      <c r="R42" s="1">
        <f>IF('Interfaccia-macchina'!E11="0","",1)</f>
        <v>1</v>
      </c>
      <c r="S42" s="1">
        <f>IF('Interfaccia-macchina'!E11="0","",1)</f>
        <v>1</v>
      </c>
      <c r="T42" s="1">
        <f>IF('Interfaccia-macchina'!E11="0","",1)</f>
        <v>1</v>
      </c>
      <c r="AH42" s="1">
        <f>IF('Interfaccia-macchina'!E12="0","",1)</f>
        <v>1</v>
      </c>
      <c r="AI42" s="1">
        <f>IF('Interfaccia-macchina'!E12="0","",1)</f>
        <v>1</v>
      </c>
      <c r="AJ42" s="1">
        <f>IF('Interfaccia-macchina'!E12="0","",1)</f>
        <v>1</v>
      </c>
      <c r="AK42" s="1">
        <f>IF('Interfaccia-macchina'!E12="0","",1)</f>
        <v>1</v>
      </c>
      <c r="AL42" s="1">
        <f>IF('Interfaccia-macchina'!E12="0","",1)</f>
        <v>1</v>
      </c>
      <c r="AM42" s="1">
        <f>IF('Interfaccia-macchina'!E12="0","",1)</f>
        <v>1</v>
      </c>
      <c r="AN42" s="1">
        <f>IF('Interfaccia-macchina'!E12="0","",1)</f>
        <v>1</v>
      </c>
      <c r="AO42" s="1">
        <f>IF('Interfaccia-macchina'!E12="0","",1)</f>
        <v>1</v>
      </c>
      <c r="AP42" s="1">
        <f>IF('Interfaccia-macchina'!E12="0","",1)</f>
        <v>1</v>
      </c>
      <c r="AQ42" s="1">
        <f>IF('Interfaccia-macchina'!E12="0","",1)</f>
        <v>1</v>
      </c>
      <c r="AR42" s="1">
        <f>IF('Interfaccia-macchina'!E12="0","",1)</f>
        <v>1</v>
      </c>
      <c r="AS42" s="1">
        <f>IF('Interfaccia-macchina'!E12="0","",1)</f>
        <v>1</v>
      </c>
      <c r="AT42" s="1">
        <f>IF('Interfaccia-macchina'!E12="0","",1)</f>
        <v>1</v>
      </c>
    </row>
    <row r="43" spans="2:52" ht="7.5" customHeight="1" x14ac:dyDescent="0.25">
      <c r="I43" s="1">
        <f>IF('Interfaccia-macchina'!E11="0","",1)</f>
        <v>1</v>
      </c>
      <c r="J43" s="1">
        <f>IF('Interfaccia-macchina'!E11="0","",1)</f>
        <v>1</v>
      </c>
      <c r="K43" s="1">
        <f>IF('Interfaccia-macchina'!E11="0","",1)</f>
        <v>1</v>
      </c>
      <c r="L43" s="1">
        <f>IF('Interfaccia-macchina'!E11="0","",1)</f>
        <v>1</v>
      </c>
      <c r="M43" s="1">
        <f>IF('Interfaccia-macchina'!E11="0","",1)</f>
        <v>1</v>
      </c>
      <c r="N43" s="1">
        <f>IF('Interfaccia-macchina'!E11="0","",1)</f>
        <v>1</v>
      </c>
      <c r="O43" s="1">
        <f>IF('Interfaccia-macchina'!E11="0","",1)</f>
        <v>1</v>
      </c>
      <c r="P43" s="1">
        <f>IF('Interfaccia-macchina'!E11="0","",1)</f>
        <v>1</v>
      </c>
      <c r="Q43" s="1">
        <f>IF('Interfaccia-macchina'!E11="0","",1)</f>
        <v>1</v>
      </c>
      <c r="R43" s="1">
        <f>IF('Interfaccia-macchina'!E11="0","",1)</f>
        <v>1</v>
      </c>
      <c r="S43" s="1">
        <f>IF('Interfaccia-macchina'!E11="0","",1)</f>
        <v>1</v>
      </c>
      <c r="AI43" s="1">
        <f>IF('Interfaccia-macchina'!E12="0","",1)</f>
        <v>1</v>
      </c>
      <c r="AJ43" s="1">
        <f>IF('Interfaccia-macchina'!E12="0","",1)</f>
        <v>1</v>
      </c>
      <c r="AK43" s="1">
        <f>IF('Interfaccia-macchina'!E12="0","",1)</f>
        <v>1</v>
      </c>
      <c r="AL43" s="1">
        <f>IF('Interfaccia-macchina'!E12="0","",1)</f>
        <v>1</v>
      </c>
      <c r="AM43" s="1">
        <f>IF('Interfaccia-macchina'!E12="0","",1)</f>
        <v>1</v>
      </c>
      <c r="AN43" s="1">
        <f>IF('Interfaccia-macchina'!E12="0","",1)</f>
        <v>1</v>
      </c>
      <c r="AO43" s="1">
        <f>IF('Interfaccia-macchina'!E12="0","",1)</f>
        <v>1</v>
      </c>
      <c r="AP43" s="1">
        <f>IF('Interfaccia-macchina'!E12="0","",1)</f>
        <v>1</v>
      </c>
      <c r="AQ43" s="1">
        <f>IF('Interfaccia-macchina'!E12="0","",1)</f>
        <v>1</v>
      </c>
      <c r="AR43" s="1">
        <f>IF('Interfaccia-macchina'!E12="0","",1)</f>
        <v>1</v>
      </c>
      <c r="AS43" s="1">
        <f>IF('Interfaccia-macchina'!E12="0","",1)</f>
        <v>1</v>
      </c>
    </row>
    <row r="44" spans="2:52" ht="7.5" customHeight="1" x14ac:dyDescent="0.25">
      <c r="J44" s="1">
        <f>IF('Interfaccia-macchina'!E11="0","",1)</f>
        <v>1</v>
      </c>
      <c r="K44" s="1">
        <f>IF('Interfaccia-macchina'!E11="0","",1)</f>
        <v>1</v>
      </c>
      <c r="L44" s="1">
        <f>IF('Interfaccia-macchina'!E11="0","",1)</f>
        <v>1</v>
      </c>
      <c r="M44" s="1">
        <f>IF('Interfaccia-macchina'!E11="0","",1)</f>
        <v>1</v>
      </c>
      <c r="N44" s="1">
        <f>IF('Interfaccia-macchina'!E11="0","",1)</f>
        <v>1</v>
      </c>
      <c r="O44" s="1">
        <f>IF('Interfaccia-macchina'!E11="0","",1)</f>
        <v>1</v>
      </c>
      <c r="P44" s="1">
        <f>IF('Interfaccia-macchina'!E11="0","",1)</f>
        <v>1</v>
      </c>
      <c r="Q44" s="1">
        <f>IF('Interfaccia-macchina'!E11="0","",1)</f>
        <v>1</v>
      </c>
      <c r="R44" s="1">
        <f>IF('Interfaccia-macchina'!E11="0","",1)</f>
        <v>1</v>
      </c>
      <c r="AJ44" s="1">
        <f>IF('Interfaccia-macchina'!E12="0","",1)</f>
        <v>1</v>
      </c>
      <c r="AK44" s="1">
        <f>IF('Interfaccia-macchina'!E12="0","",1)</f>
        <v>1</v>
      </c>
      <c r="AL44" s="1">
        <f>IF('Interfaccia-macchina'!E12="0","",1)</f>
        <v>1</v>
      </c>
      <c r="AM44" s="1">
        <f>IF('Interfaccia-macchina'!E12="0","",1)</f>
        <v>1</v>
      </c>
      <c r="AN44" s="1">
        <f>IF('Interfaccia-macchina'!E12="0","",1)</f>
        <v>1</v>
      </c>
      <c r="AO44" s="1">
        <f>IF('Interfaccia-macchina'!E12="0","",1)</f>
        <v>1</v>
      </c>
      <c r="AP44" s="1">
        <f>IF('Interfaccia-macchina'!E12="0","",1)</f>
        <v>1</v>
      </c>
      <c r="AQ44" s="1">
        <f>IF('Interfaccia-macchina'!E12="0","",1)</f>
        <v>1</v>
      </c>
      <c r="AR44" s="1">
        <f>IF('Interfaccia-macchina'!E12="0","",1)</f>
        <v>1</v>
      </c>
    </row>
    <row r="45" spans="2:52" ht="7.5" customHeight="1" x14ac:dyDescent="0.25">
      <c r="K45" s="1">
        <f>IF('Interfaccia-macchina'!E11="0","",1)</f>
        <v>1</v>
      </c>
      <c r="L45" s="1">
        <f>IF('Interfaccia-macchina'!E11="0","",1)</f>
        <v>1</v>
      </c>
      <c r="M45" s="1">
        <f>IF('Interfaccia-macchina'!E11="0","",1)</f>
        <v>1</v>
      </c>
      <c r="N45" s="1">
        <f>IF('Interfaccia-macchina'!E11="0","",1)</f>
        <v>1</v>
      </c>
      <c r="O45" s="1">
        <f>IF('Interfaccia-macchina'!E11="0","",1)</f>
        <v>1</v>
      </c>
      <c r="P45" s="1">
        <f>IF('Interfaccia-macchina'!E11="0","",1)</f>
        <v>1</v>
      </c>
      <c r="Q45" s="1">
        <f>IF('Interfaccia-macchina'!E11="0","",1)</f>
        <v>1</v>
      </c>
      <c r="AK45" s="1">
        <f>IF('Interfaccia-macchina'!E12="0","",1)</f>
        <v>1</v>
      </c>
      <c r="AL45" s="1">
        <f>IF('Interfaccia-macchina'!E12="0","",1)</f>
        <v>1</v>
      </c>
      <c r="AM45" s="1">
        <f>IF('Interfaccia-macchina'!E12="0","",1)</f>
        <v>1</v>
      </c>
      <c r="AN45" s="1">
        <f>IF('Interfaccia-macchina'!E12="0","",1)</f>
        <v>1</v>
      </c>
      <c r="AO45" s="1">
        <f>IF('Interfaccia-macchina'!E12="0","",1)</f>
        <v>1</v>
      </c>
      <c r="AP45" s="1">
        <f>IF('Interfaccia-macchina'!E12="0","",1)</f>
        <v>1</v>
      </c>
      <c r="AQ45" s="1">
        <f>IF('Interfaccia-macchina'!E12="0","",1)</f>
        <v>1</v>
      </c>
    </row>
    <row r="46" spans="2:52" ht="7.5" customHeight="1" x14ac:dyDescent="0.25">
      <c r="L46" s="1">
        <f>IF('Interfaccia-macchina'!E11="0","",1)</f>
        <v>1</v>
      </c>
      <c r="M46" s="1">
        <f>IF('Interfaccia-macchina'!E11="0","",1)</f>
        <v>1</v>
      </c>
      <c r="N46" s="1">
        <f>IF('Interfaccia-macchina'!E11="0","",1)</f>
        <v>1</v>
      </c>
      <c r="O46" s="1">
        <f>IF('Interfaccia-macchina'!E11="0","",1)</f>
        <v>1</v>
      </c>
      <c r="P46" s="1">
        <f>IF('Interfaccia-macchina'!E11="0","",1)</f>
        <v>1</v>
      </c>
      <c r="AL46" s="1">
        <f>IF('Interfaccia-macchina'!E12="0","",1)</f>
        <v>1</v>
      </c>
      <c r="AM46" s="1">
        <f>IF('Interfaccia-macchina'!E12="0","",1)</f>
        <v>1</v>
      </c>
      <c r="AN46" s="1">
        <f>IF('Interfaccia-macchina'!E12="0","",1)</f>
        <v>1</v>
      </c>
      <c r="AO46" s="1">
        <f>IF('Interfaccia-macchina'!E12="0","",1)</f>
        <v>1</v>
      </c>
      <c r="AP46" s="1">
        <f>IF('Interfaccia-macchina'!E12="0","",1)</f>
        <v>1</v>
      </c>
    </row>
    <row r="47" spans="2:52" ht="7.5" customHeight="1" x14ac:dyDescent="0.25">
      <c r="M47" s="1">
        <f>IF('Interfaccia-macchina'!E11="0","",1)</f>
        <v>1</v>
      </c>
      <c r="N47" s="1">
        <f>IF('Interfaccia-macchina'!E11="0","",1)</f>
        <v>1</v>
      </c>
      <c r="O47" s="1">
        <f>IF('Interfaccia-macchina'!E11="0","",1)</f>
        <v>1</v>
      </c>
      <c r="AM47" s="1">
        <f>IF('Interfaccia-macchina'!E12="0","",1)</f>
        <v>1</v>
      </c>
      <c r="AN47" s="1">
        <f>IF('Interfaccia-macchina'!E12="0","",1)</f>
        <v>1</v>
      </c>
      <c r="AO47" s="1">
        <f>IF('Interfaccia-macchina'!E12="0","",1)</f>
        <v>1</v>
      </c>
    </row>
  </sheetData>
  <mergeCells count="4">
    <mergeCell ref="P2:V2"/>
    <mergeCell ref="P4:V4"/>
    <mergeCell ref="B2:N2"/>
    <mergeCell ref="B4:N4"/>
  </mergeCells>
  <conditionalFormatting sqref="B9:AZ47">
    <cfRule type="cellIs" dxfId="1" priority="7" operator="equal">
      <formula>1</formula>
    </cfRule>
  </conditionalFormatting>
  <conditionalFormatting sqref="P4:V4">
    <cfRule type="cellIs" dxfId="0" priority="1" operator="greaterThanOrEqual">
      <formula>100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C57D73-4487-40F7-BE84-4880DD981591}">
  <sheetPr codeName="Foglio2"/>
  <dimension ref="A1:H58"/>
  <sheetViews>
    <sheetView workbookViewId="0">
      <selection activeCell="E36" sqref="E36"/>
    </sheetView>
  </sheetViews>
  <sheetFormatPr defaultRowHeight="15" x14ac:dyDescent="0.25"/>
  <cols>
    <col min="1" max="1" width="16.5703125" bestFit="1" customWidth="1"/>
    <col min="2" max="2" width="20.5703125" bestFit="1" customWidth="1"/>
  </cols>
  <sheetData>
    <row r="1" spans="1:8" x14ac:dyDescent="0.25">
      <c r="A1" s="5" t="s">
        <v>2</v>
      </c>
      <c r="B1" s="7" t="str">
        <f>IF('Interfaccia-utente'!P4&gt;99,"00",TEXT(VALUE('Interfaccia-utente'!P4),"00"))</f>
        <v>00</v>
      </c>
    </row>
    <row r="2" spans="1:8" x14ac:dyDescent="0.25">
      <c r="A2" s="3"/>
      <c r="B2" s="8"/>
    </row>
    <row r="3" spans="1:8" x14ac:dyDescent="0.25">
      <c r="A3" s="5" t="s">
        <v>3</v>
      </c>
      <c r="B3" s="8" t="str">
        <f>MID(B1,1,1)</f>
        <v>0</v>
      </c>
    </row>
    <row r="4" spans="1:8" x14ac:dyDescent="0.25">
      <c r="A4" s="6" t="s">
        <v>4</v>
      </c>
      <c r="B4" s="8" t="str">
        <f>MID(B1,2,1)</f>
        <v>0</v>
      </c>
    </row>
    <row r="5" spans="1:8" x14ac:dyDescent="0.25">
      <c r="A5" s="3"/>
      <c r="B5" s="8"/>
    </row>
    <row r="6" spans="1:8" x14ac:dyDescent="0.25">
      <c r="A6" s="5" t="s">
        <v>5</v>
      </c>
      <c r="B6" s="8" t="str">
        <f>IF(B3="0",$B$49,IF(B3="1",$B$50,IF(B3="2",$B$51,IF(B3="3",$B$52,IF(B3="4",$B$53,IF(B3="5",$B$54,IF(B3="6",$B$55,IF(B3="6",$B$55,IF(B3="7",$B$56,IF(B3="8",$B$57,IF(B3="9",$B$58,)))))))))))</f>
        <v>1111110</v>
      </c>
    </row>
    <row r="7" spans="1:8" x14ac:dyDescent="0.25">
      <c r="A7" s="5" t="s">
        <v>6</v>
      </c>
      <c r="B7" s="8" t="str">
        <f>IF(B4="0",$B$49,IF(B4="1",$B$50,IF(B4="2",$B$51,IF(B4="3",$B$52,IF(B4="4",$B$53,IF(B4="5",$B$54,IF(B4="6",$B$55,IF(B4="6",$B$55,IF(B4="7",$B$56,IF(B4="8",$B$57,IF(B4="9",$B$58,)))))))))))</f>
        <v>1111110</v>
      </c>
    </row>
    <row r="8" spans="1:8" x14ac:dyDescent="0.25">
      <c r="A8" s="3"/>
      <c r="B8" s="8"/>
    </row>
    <row r="10" spans="1:8" x14ac:dyDescent="0.25">
      <c r="A10" s="3"/>
      <c r="B10" s="11" t="s">
        <v>9</v>
      </c>
      <c r="C10" s="11" t="s">
        <v>10</v>
      </c>
      <c r="D10" s="11" t="s">
        <v>0</v>
      </c>
      <c r="E10" s="11" t="s">
        <v>13</v>
      </c>
      <c r="F10" s="11" t="s">
        <v>15</v>
      </c>
      <c r="G10" s="11" t="s">
        <v>17</v>
      </c>
      <c r="H10" s="11" t="s">
        <v>19</v>
      </c>
    </row>
    <row r="11" spans="1:8" x14ac:dyDescent="0.25">
      <c r="A11" s="5" t="s">
        <v>22</v>
      </c>
      <c r="B11" s="11" t="str">
        <f>MID($B6,1,1)</f>
        <v>1</v>
      </c>
      <c r="C11" s="11" t="str">
        <f>MID($B6,2,1)</f>
        <v>1</v>
      </c>
      <c r="D11" s="11" t="str">
        <f>MID($B6,3,1)</f>
        <v>1</v>
      </c>
      <c r="E11" s="11" t="str">
        <f>MID($B6,4,1)</f>
        <v>1</v>
      </c>
      <c r="F11" s="11" t="str">
        <f>MID($B6,5,1)</f>
        <v>1</v>
      </c>
      <c r="G11" s="11" t="str">
        <f>MID($B6,6,1)</f>
        <v>1</v>
      </c>
      <c r="H11" s="11" t="str">
        <f>MID($B6,7,1)</f>
        <v>0</v>
      </c>
    </row>
    <row r="12" spans="1:8" x14ac:dyDescent="0.25">
      <c r="A12" s="3"/>
      <c r="B12" s="11" t="str">
        <f>MID($B7,1,1)</f>
        <v>1</v>
      </c>
      <c r="C12" s="11" t="str">
        <f>MID($B7,2,1)</f>
        <v>1</v>
      </c>
      <c r="D12" s="11" t="str">
        <f>MID($B7,3,1)</f>
        <v>1</v>
      </c>
      <c r="E12" s="11" t="str">
        <f>MID($B7,4,1)</f>
        <v>1</v>
      </c>
      <c r="F12" s="11" t="str">
        <f>MID($B7,5,1)</f>
        <v>1</v>
      </c>
      <c r="G12" s="11" t="str">
        <f>MID($B7,6,1)</f>
        <v>1</v>
      </c>
      <c r="H12" s="11" t="str">
        <f>MID($B7,7,1)</f>
        <v>0</v>
      </c>
    </row>
    <row r="13" spans="1:8" x14ac:dyDescent="0.25">
      <c r="A13" s="3"/>
      <c r="B13" s="8"/>
    </row>
    <row r="14" spans="1:8" x14ac:dyDescent="0.25">
      <c r="A14" s="3"/>
      <c r="B14" s="8"/>
    </row>
    <row r="15" spans="1:8" x14ac:dyDescent="0.25">
      <c r="A15" s="3"/>
      <c r="B15" s="8"/>
    </row>
    <row r="16" spans="1:8" x14ac:dyDescent="0.25">
      <c r="A16" s="5" t="s">
        <v>23</v>
      </c>
      <c r="B16" s="8" t="str">
        <f>IF('Interfaccia-utente'!P4&gt;99,1,"0")</f>
        <v>0</v>
      </c>
    </row>
    <row r="17" spans="1:2" x14ac:dyDescent="0.25">
      <c r="A17" s="3"/>
      <c r="B17" s="8"/>
    </row>
    <row r="18" spans="1:2" x14ac:dyDescent="0.25">
      <c r="A18" s="3"/>
      <c r="B18" s="8"/>
    </row>
    <row r="19" spans="1:2" x14ac:dyDescent="0.25">
      <c r="A19" s="3"/>
      <c r="B19" s="8"/>
    </row>
    <row r="20" spans="1:2" x14ac:dyDescent="0.25">
      <c r="A20" s="3"/>
      <c r="B20" s="8"/>
    </row>
    <row r="21" spans="1:2" x14ac:dyDescent="0.25">
      <c r="A21" s="3"/>
      <c r="B21" s="8"/>
    </row>
    <row r="22" spans="1:2" x14ac:dyDescent="0.25">
      <c r="A22" s="3"/>
      <c r="B22" s="8"/>
    </row>
    <row r="23" spans="1:2" x14ac:dyDescent="0.25">
      <c r="A23" s="3"/>
      <c r="B23" s="8"/>
    </row>
    <row r="24" spans="1:2" x14ac:dyDescent="0.25">
      <c r="A24" s="3"/>
      <c r="B24" s="8"/>
    </row>
    <row r="25" spans="1:2" x14ac:dyDescent="0.25">
      <c r="A25" s="3"/>
      <c r="B25" s="8"/>
    </row>
    <row r="26" spans="1:2" x14ac:dyDescent="0.25">
      <c r="A26" s="3"/>
      <c r="B26" s="8"/>
    </row>
    <row r="27" spans="1:2" x14ac:dyDescent="0.25">
      <c r="A27" s="3"/>
      <c r="B27" s="8"/>
    </row>
    <row r="28" spans="1:2" x14ac:dyDescent="0.25">
      <c r="A28" s="3"/>
      <c r="B28" s="8"/>
    </row>
    <row r="29" spans="1:2" x14ac:dyDescent="0.25">
      <c r="A29" s="3"/>
      <c r="B29" s="8"/>
    </row>
    <row r="30" spans="1:2" x14ac:dyDescent="0.25">
      <c r="A30" s="3"/>
      <c r="B30" s="8"/>
    </row>
    <row r="31" spans="1:2" x14ac:dyDescent="0.25">
      <c r="A31" s="3"/>
      <c r="B31" s="8"/>
    </row>
    <row r="32" spans="1:2" x14ac:dyDescent="0.25">
      <c r="A32" s="3"/>
      <c r="B32" s="8"/>
    </row>
    <row r="33" spans="1:2" x14ac:dyDescent="0.25">
      <c r="A33" s="3"/>
      <c r="B33" s="8"/>
    </row>
    <row r="34" spans="1:2" x14ac:dyDescent="0.25">
      <c r="A34" s="3"/>
      <c r="B34" s="8"/>
    </row>
    <row r="35" spans="1:2" x14ac:dyDescent="0.25">
      <c r="A35" s="3"/>
      <c r="B35" s="8"/>
    </row>
    <row r="36" spans="1:2" x14ac:dyDescent="0.25">
      <c r="A36" s="3"/>
      <c r="B36" s="8"/>
    </row>
    <row r="37" spans="1:2" x14ac:dyDescent="0.25">
      <c r="A37" s="3"/>
      <c r="B37" s="8"/>
    </row>
    <row r="38" spans="1:2" x14ac:dyDescent="0.25">
      <c r="A38" s="5" t="s">
        <v>7</v>
      </c>
      <c r="B38" s="8" t="s">
        <v>8</v>
      </c>
    </row>
    <row r="39" spans="1:2" x14ac:dyDescent="0.25">
      <c r="A39" s="5" t="s">
        <v>9</v>
      </c>
      <c r="B39" s="9">
        <v>1000000</v>
      </c>
    </row>
    <row r="40" spans="1:2" x14ac:dyDescent="0.25">
      <c r="A40" s="5" t="s">
        <v>10</v>
      </c>
      <c r="B40" s="9" t="s">
        <v>11</v>
      </c>
    </row>
    <row r="41" spans="1:2" x14ac:dyDescent="0.25">
      <c r="A41" s="5" t="s">
        <v>0</v>
      </c>
      <c r="B41" s="9" t="s">
        <v>12</v>
      </c>
    </row>
    <row r="42" spans="1:2" x14ac:dyDescent="0.25">
      <c r="A42" s="5" t="s">
        <v>13</v>
      </c>
      <c r="B42" s="9" t="s">
        <v>14</v>
      </c>
    </row>
    <row r="43" spans="1:2" x14ac:dyDescent="0.25">
      <c r="A43" s="5" t="s">
        <v>15</v>
      </c>
      <c r="B43" s="9" t="s">
        <v>16</v>
      </c>
    </row>
    <row r="44" spans="1:2" x14ac:dyDescent="0.25">
      <c r="A44" s="5" t="s">
        <v>17</v>
      </c>
      <c r="B44" s="9" t="s">
        <v>18</v>
      </c>
    </row>
    <row r="45" spans="1:2" x14ac:dyDescent="0.25">
      <c r="A45" s="5" t="s">
        <v>19</v>
      </c>
      <c r="B45" s="9" t="s">
        <v>20</v>
      </c>
    </row>
    <row r="46" spans="1:2" x14ac:dyDescent="0.25">
      <c r="A46" s="3"/>
      <c r="B46" s="8"/>
    </row>
    <row r="47" spans="1:2" x14ac:dyDescent="0.25">
      <c r="A47" s="3"/>
      <c r="B47" s="8"/>
    </row>
    <row r="48" spans="1:2" x14ac:dyDescent="0.25">
      <c r="A48" s="3"/>
      <c r="B48" s="8"/>
    </row>
    <row r="49" spans="1:2" x14ac:dyDescent="0.25">
      <c r="A49" s="5">
        <v>0</v>
      </c>
      <c r="B49" s="8" t="str">
        <f>TEXT(B39+B40+B41+B42+B43+B44, "0000000")</f>
        <v>1111110</v>
      </c>
    </row>
    <row r="50" spans="1:2" x14ac:dyDescent="0.25">
      <c r="A50" s="5">
        <v>1</v>
      </c>
      <c r="B50" s="8" t="str">
        <f>TEXT(B40+B41, "0000000")</f>
        <v>0110000</v>
      </c>
    </row>
    <row r="51" spans="1:2" x14ac:dyDescent="0.25">
      <c r="A51" s="5">
        <v>2</v>
      </c>
      <c r="B51" s="8" t="str">
        <f>TEXT(B39+B40+B42+B43+B45, "0000000")</f>
        <v>1101101</v>
      </c>
    </row>
    <row r="52" spans="1:2" x14ac:dyDescent="0.25">
      <c r="A52" s="5">
        <v>3</v>
      </c>
      <c r="B52" s="8" t="str">
        <f>TEXT(B39+B40+B41+B42+B45, "0000000")</f>
        <v>1111001</v>
      </c>
    </row>
    <row r="53" spans="1:2" x14ac:dyDescent="0.25">
      <c r="A53" s="5">
        <v>4</v>
      </c>
      <c r="B53" s="8" t="str">
        <f>TEXT(B40+B41+B44+B45, "0000000")</f>
        <v>0110011</v>
      </c>
    </row>
    <row r="54" spans="1:2" x14ac:dyDescent="0.25">
      <c r="A54" s="5">
        <v>5</v>
      </c>
      <c r="B54" s="8" t="str">
        <f>TEXT(B39+B41+B42+B44+B45, "0000000")</f>
        <v>1011011</v>
      </c>
    </row>
    <row r="55" spans="1:2" x14ac:dyDescent="0.25">
      <c r="A55" s="5">
        <v>6</v>
      </c>
      <c r="B55" s="8" t="str">
        <f>TEXT(B39+B41+B42+B43+B44+B45, "0000000")</f>
        <v>1011111</v>
      </c>
    </row>
    <row r="56" spans="1:2" x14ac:dyDescent="0.25">
      <c r="A56" s="5">
        <v>7</v>
      </c>
      <c r="B56" s="8" t="str">
        <f>TEXT(B39+B40+B41, "0000000")</f>
        <v>1110000</v>
      </c>
    </row>
    <row r="57" spans="1:2" x14ac:dyDescent="0.25">
      <c r="A57" s="5">
        <v>8</v>
      </c>
      <c r="B57" s="8" t="str">
        <f>TEXT(B39+B40+B41+B42+B43+B44+B45, "0000000")</f>
        <v>1111111</v>
      </c>
    </row>
    <row r="58" spans="1:2" x14ac:dyDescent="0.25">
      <c r="A58" s="5">
        <v>9</v>
      </c>
      <c r="B58" s="8" t="str">
        <f>TEXT(B39+B40+B41+B42+B44+B45, "0000000")</f>
        <v>1111011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2</vt:i4>
      </vt:variant>
    </vt:vector>
  </HeadingPairs>
  <TitlesOfParts>
    <vt:vector size="2" baseType="lpstr">
      <vt:lpstr>Interfaccia-utente</vt:lpstr>
      <vt:lpstr>Interfaccia-macchina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Alessandro Masone</dc:creator>
  <cp:lastModifiedBy>Alessandro Masone</cp:lastModifiedBy>
  <dcterms:created xsi:type="dcterms:W3CDTF">2021-01-22T16:46:59Z</dcterms:created>
  <dcterms:modified xsi:type="dcterms:W3CDTF">2021-01-25T17:00:40Z</dcterms:modified>
</cp:coreProperties>
</file>