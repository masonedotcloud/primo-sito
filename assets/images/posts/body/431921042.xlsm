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mason\Desktop\Cache\Didattica a distanza\Tecnologie e progettazioni di sistemi informatici e di telecomunicazioni\2021_01_30\"/>
    </mc:Choice>
  </mc:AlternateContent>
  <xr:revisionPtr revIDLastSave="0" documentId="13_ncr:1_{72FB609D-07A1-455D-BB43-BFD23581B557}" xr6:coauthVersionLast="46" xr6:coauthVersionMax="46" xr10:uidLastSave="{00000000-0000-0000-0000-000000000000}"/>
  <bookViews>
    <workbookView xWindow="-120" yWindow="-120" windowWidth="38640" windowHeight="21390" xr2:uid="{00000000-000D-0000-FFFF-FFFF00000000}"/>
  </bookViews>
  <sheets>
    <sheet name="Interfaccia-utente" sheetId="1" r:id="rId1"/>
    <sheet name="Intefaccia-macchina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B75" i="2"/>
  <c r="B79" i="2" s="1"/>
  <c r="AC14" i="1"/>
  <c r="B3" i="2"/>
  <c r="C7" i="2" s="1"/>
  <c r="F10" i="2" s="1"/>
  <c r="D13" i="2" s="1"/>
  <c r="B138" i="2"/>
  <c r="C111" i="2"/>
  <c r="E7" i="2" l="1"/>
  <c r="H10" i="2" s="1"/>
  <c r="H24" i="2" s="1"/>
  <c r="F24" i="2"/>
  <c r="F7" i="2"/>
  <c r="J10" i="2" s="1"/>
  <c r="J24" i="2" s="1"/>
  <c r="E79" i="2"/>
  <c r="H82" i="2" s="1"/>
  <c r="I79" i="2"/>
  <c r="M82" i="2" s="1"/>
  <c r="C79" i="2"/>
  <c r="F82" i="2" s="1"/>
  <c r="F96" i="2" s="1"/>
  <c r="H79" i="2"/>
  <c r="L82" i="2" s="1"/>
  <c r="G79" i="2"/>
  <c r="K82" i="2" s="1"/>
  <c r="F79" i="2"/>
  <c r="J82" i="2" s="1"/>
  <c r="D79" i="2"/>
  <c r="G82" i="2" s="1"/>
  <c r="C19" i="2"/>
  <c r="H7" i="2"/>
  <c r="L10" i="2" s="1"/>
  <c r="L24" i="2" s="1"/>
  <c r="G7" i="2"/>
  <c r="K10" i="2" s="1"/>
  <c r="K24" i="2" s="1"/>
  <c r="B7" i="2"/>
  <c r="D10" i="2" s="1"/>
  <c r="D24" i="2" s="1"/>
  <c r="D7" i="2"/>
  <c r="G10" i="2" s="1"/>
  <c r="G24" i="2" s="1"/>
  <c r="I7" i="2"/>
  <c r="M10" i="2" s="1"/>
  <c r="M24" i="2" s="1"/>
  <c r="E91" i="2" l="1"/>
  <c r="H96" i="2"/>
  <c r="E94" i="2"/>
  <c r="L96" i="2"/>
  <c r="D91" i="2"/>
  <c r="G96" i="2"/>
  <c r="C94" i="2"/>
  <c r="J96" i="2"/>
  <c r="D94" i="2"/>
  <c r="K96" i="2"/>
  <c r="F91" i="2"/>
  <c r="M96" i="2"/>
  <c r="G85" i="2"/>
  <c r="D88" i="2"/>
  <c r="F94" i="2"/>
  <c r="G88" i="2"/>
  <c r="F85" i="2"/>
  <c r="E85" i="2"/>
  <c r="E88" i="2"/>
  <c r="F88" i="2"/>
  <c r="D85" i="2"/>
  <c r="C91" i="2"/>
  <c r="F13" i="2"/>
  <c r="C22" i="2"/>
  <c r="C13" i="2"/>
  <c r="C16" i="2"/>
  <c r="E16" i="2"/>
  <c r="E19" i="2"/>
  <c r="E13" i="2"/>
  <c r="F16" i="2"/>
  <c r="D22" i="2"/>
  <c r="F19" i="2"/>
  <c r="F22" i="2"/>
  <c r="E22" i="2"/>
  <c r="G13" i="2"/>
  <c r="G16" i="2"/>
  <c r="D16" i="2"/>
  <c r="D19" i="2"/>
  <c r="B94" i="2" l="1"/>
  <c r="I82" i="2" s="1"/>
  <c r="I96" i="2" s="1"/>
  <c r="B91" i="2"/>
  <c r="E82" i="2" s="1"/>
  <c r="E96" i="2" s="1"/>
  <c r="B19" i="2"/>
  <c r="E10" i="2" s="1"/>
  <c r="E24" i="2" s="1"/>
  <c r="B13" i="2"/>
  <c r="B10" i="2" s="1"/>
  <c r="B24" i="2" s="1"/>
  <c r="B16" i="2"/>
  <c r="C10" i="2" s="1"/>
  <c r="C24" i="2" s="1"/>
  <c r="B22" i="2"/>
  <c r="I10" i="2" s="1"/>
  <c r="I24" i="2" s="1"/>
  <c r="B4" i="2" l="1"/>
  <c r="B30" i="2" s="1"/>
  <c r="G34" i="2" s="1"/>
  <c r="C34" i="2" l="1"/>
  <c r="B43" i="2" s="1"/>
  <c r="D34" i="2"/>
  <c r="H34" i="2"/>
  <c r="F34" i="2"/>
  <c r="B34" i="2"/>
  <c r="B38" i="2" s="1"/>
  <c r="I34" i="2"/>
  <c r="B53" i="2" s="1"/>
  <c r="K34" i="2"/>
  <c r="M34" i="2"/>
  <c r="E34" i="2"/>
  <c r="B48" i="2" s="1"/>
  <c r="J34" i="2"/>
  <c r="L34" i="2"/>
  <c r="C44" i="2" l="1"/>
  <c r="C39" i="2"/>
  <c r="G44" i="2"/>
  <c r="E54" i="2"/>
  <c r="G39" i="2"/>
  <c r="C54" i="2"/>
  <c r="F39" i="2"/>
  <c r="D44" i="2"/>
  <c r="D49" i="2"/>
  <c r="C49" i="2"/>
  <c r="D38" i="2"/>
  <c r="D39" i="2"/>
  <c r="E44" i="2"/>
  <c r="E49" i="2"/>
  <c r="E38" i="2"/>
  <c r="E39" i="2"/>
  <c r="F54" i="2"/>
  <c r="F49" i="2"/>
  <c r="D54" i="2"/>
  <c r="F44" i="2"/>
  <c r="D53" i="2"/>
  <c r="F43" i="2"/>
  <c r="F53" i="2"/>
  <c r="F48" i="2"/>
  <c r="G43" i="2"/>
  <c r="E53" i="2"/>
  <c r="G38" i="2"/>
  <c r="D48" i="2"/>
  <c r="D43" i="2"/>
  <c r="C48" i="2"/>
  <c r="C43" i="2"/>
  <c r="C38" i="2"/>
  <c r="F38" i="2"/>
  <c r="C53" i="2"/>
  <c r="E43" i="2"/>
  <c r="E48" i="2"/>
  <c r="B44" i="2" l="1"/>
  <c r="B45" i="2" s="1"/>
  <c r="C45" i="2" s="1"/>
  <c r="B39" i="2"/>
  <c r="B40" i="2" s="1"/>
  <c r="C40" i="2" s="1"/>
  <c r="B54" i="2"/>
  <c r="B55" i="2" s="1"/>
  <c r="C55" i="2" s="1"/>
  <c r="B49" i="2"/>
  <c r="B50" i="2" s="1"/>
  <c r="C50" i="2" s="1"/>
  <c r="D82" i="2"/>
  <c r="B57" i="2" l="1"/>
  <c r="C85" i="2"/>
  <c r="B85" i="2" s="1"/>
  <c r="B82" i="2" s="1"/>
  <c r="D96" i="2"/>
  <c r="C88" i="2"/>
  <c r="B88" i="2" s="1"/>
  <c r="C82" i="2" s="1"/>
  <c r="C60" i="2" l="1"/>
  <c r="J60" i="2"/>
  <c r="D60" i="2"/>
  <c r="K60" i="2"/>
  <c r="G60" i="2"/>
  <c r="B60" i="2"/>
  <c r="I60" i="2"/>
  <c r="E60" i="2"/>
  <c r="L60" i="2"/>
  <c r="F60" i="2"/>
  <c r="M60" i="2"/>
  <c r="C96" i="2"/>
  <c r="B76" i="2"/>
  <c r="B102" i="2" s="1"/>
  <c r="B96" i="2"/>
  <c r="G106" i="2" l="1"/>
  <c r="D120" i="2" s="1"/>
  <c r="I106" i="2"/>
  <c r="B125" i="2" s="1"/>
  <c r="H106" i="2"/>
  <c r="E116" i="2" s="1"/>
  <c r="C106" i="2"/>
  <c r="B115" i="2" s="1"/>
  <c r="D106" i="2"/>
  <c r="C116" i="2" s="1"/>
  <c r="F106" i="2"/>
  <c r="C121" i="2" s="1"/>
  <c r="E106" i="2"/>
  <c r="B120" i="2" s="1"/>
  <c r="L106" i="2"/>
  <c r="G116" i="2" s="1"/>
  <c r="K106" i="2"/>
  <c r="F116" i="2" s="1"/>
  <c r="B106" i="2"/>
  <c r="B110" i="2" s="1"/>
  <c r="J106" i="2"/>
  <c r="C125" i="2" s="1"/>
  <c r="M106" i="2"/>
  <c r="F120" i="2" s="1"/>
  <c r="E115" i="2" l="1"/>
  <c r="E120" i="2"/>
  <c r="E111" i="2"/>
  <c r="E110" i="2"/>
  <c r="D126" i="2"/>
  <c r="D115" i="2"/>
  <c r="E125" i="2"/>
  <c r="G111" i="2"/>
  <c r="G115" i="2"/>
  <c r="G110" i="2"/>
  <c r="E126" i="2"/>
  <c r="F115" i="2"/>
  <c r="D121" i="2"/>
  <c r="C126" i="2"/>
  <c r="D116" i="2"/>
  <c r="B116" i="2" s="1"/>
  <c r="B117" i="2" s="1"/>
  <c r="C117" i="2" s="1"/>
  <c r="D125" i="2"/>
  <c r="D111" i="2"/>
  <c r="C120" i="2"/>
  <c r="F121" i="2"/>
  <c r="D110" i="2"/>
  <c r="C115" i="2"/>
  <c r="F125" i="2"/>
  <c r="F126" i="2"/>
  <c r="E121" i="2"/>
  <c r="F111" i="2"/>
  <c r="C110" i="2"/>
  <c r="F110" i="2"/>
  <c r="B126" i="2" l="1"/>
  <c r="B127" i="2" s="1"/>
  <c r="C127" i="2" s="1"/>
  <c r="B121" i="2"/>
  <c r="B122" i="2" s="1"/>
  <c r="C122" i="2" s="1"/>
  <c r="B111" i="2"/>
  <c r="B112" i="2" s="1"/>
  <c r="C112" i="2" s="1"/>
  <c r="B129" i="2" l="1"/>
  <c r="D132" i="2" l="1"/>
  <c r="J132" i="2"/>
  <c r="F132" i="2"/>
  <c r="L132" i="2"/>
  <c r="M132" i="2"/>
  <c r="H132" i="2"/>
  <c r="B132" i="2"/>
  <c r="C132" i="2"/>
  <c r="I132" i="2"/>
  <c r="E132" i="2"/>
  <c r="K132" i="2"/>
  <c r="G132" i="2"/>
  <c r="B103" i="2" l="1"/>
  <c r="G17" i="1" s="1"/>
  <c r="B31" i="2"/>
  <c r="AC17" i="1" s="1"/>
  <c r="H60" i="2"/>
</calcChain>
</file>

<file path=xl/sharedStrings.xml><?xml version="1.0" encoding="utf-8"?>
<sst xmlns="http://schemas.openxmlformats.org/spreadsheetml/2006/main" count="71" uniqueCount="29">
  <si>
    <t>Utente-1</t>
  </si>
  <si>
    <t>Bit-da-ricevere</t>
  </si>
  <si>
    <t>Singolo-bit</t>
  </si>
  <si>
    <t>Bit-con-codifica</t>
  </si>
  <si>
    <t>Calcolo-bit-1</t>
  </si>
  <si>
    <t>Calcolo-bit-2</t>
  </si>
  <si>
    <t>Calcolo-bit-4</t>
  </si>
  <si>
    <t>Calcolo-bit-8</t>
  </si>
  <si>
    <t>Bit-da-mandare-non-codificato</t>
  </si>
  <si>
    <t>Bit-da-mandare-codificato</t>
  </si>
  <si>
    <t>Utente-2</t>
  </si>
  <si>
    <t>Bit-da-ricevere-decodificato</t>
  </si>
  <si>
    <t>Check-bit-1</t>
  </si>
  <si>
    <t>Check-bit-2</t>
  </si>
  <si>
    <t>Errore</t>
  </si>
  <si>
    <t>Check-bit-1-verifica</t>
  </si>
  <si>
    <t>Check-bit-2-verifica</t>
  </si>
  <si>
    <t>Check-bit-4-verifica</t>
  </si>
  <si>
    <t>Check-bit-8-verifica</t>
  </si>
  <si>
    <t>Check-bit-8</t>
  </si>
  <si>
    <t>Bit-errato</t>
  </si>
  <si>
    <t xml:space="preserve"> </t>
  </si>
  <si>
    <t>Interferenza</t>
  </si>
  <si>
    <t>Upload</t>
  </si>
  <si>
    <t>Download</t>
  </si>
  <si>
    <t>INTERFERENZA ON/OFF</t>
  </si>
  <si>
    <t>0</t>
  </si>
  <si>
    <t>Nota bene quando si inserisce un nuovo valore in upload, spegnere l'interferenza prima</t>
  </si>
  <si>
    <t>01010101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</si>
</sst>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/>
    <xf numFmtId="0" fontId="4" fillId="0" borderId="0" xfId="0" applyFont="1" applyBorder="1" applyAlignment="1"/>
    <xf numFmtId="0" fontId="0" fillId="0" borderId="0" xfId="0" applyBorder="1" applyAlignment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vertical="top"/>
    </xf>
    <xf numFmtId="0" fontId="6" fillId="3" borderId="0" xfId="0" applyFont="1" applyFill="1" applyAlignment="1">
      <alignment horizontal="center" vertical="top"/>
    </xf>
  </cellXfs>
  <cellStyles count="2">
    <cellStyle name="Normale" xfId="0" builtinId="0"/>
    <cellStyle name="Valore non valido" xfId="1" builtinId="27"/>
  </cellStyles>
  <dxfs count="1">
    <dxf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466725</xdr:colOff>
      <xdr:row>13</xdr:row>
      <xdr:rowOff>104775</xdr:rowOff>
    </xdr:from>
    <xdr:to>
      <xdr:col>23</xdr:col>
      <xdr:colOff>314325</xdr:colOff>
      <xdr:row>13</xdr:row>
      <xdr:rowOff>159360</xdr:rowOff>
    </xdr:to>
    <xdr:pic>
      <xdr:nvPicPr>
        <xdr:cNvPr id="12" name="Immagine 11">
          <a:extLst>
            <a:ext uri="{FF2B5EF4-FFF2-40B4-BE49-F238E27FC236}">
              <a16:creationId xmlns:a16="http://schemas.microsoft.com/office/drawing/2014/main" id="{14354F7E-8AC4-4996-BE9E-4AE00870F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2725" y="2581275"/>
          <a:ext cx="7772400" cy="54585"/>
        </a:xfrm>
        <a:prstGeom prst="rect">
          <a:avLst/>
        </a:prstGeom>
      </xdr:spPr>
    </xdr:pic>
    <xdr:clientData/>
  </xdr:twoCellAnchor>
  <xdr:twoCellAnchor editAs="oneCell">
    <xdr:from>
      <xdr:col>21</xdr:col>
      <xdr:colOff>371475</xdr:colOff>
      <xdr:row>3</xdr:row>
      <xdr:rowOff>152400</xdr:rowOff>
    </xdr:from>
    <xdr:to>
      <xdr:col>34</xdr:col>
      <xdr:colOff>219075</xdr:colOff>
      <xdr:row>34</xdr:row>
      <xdr:rowOff>80863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32ADD5E4-517B-46D7-9CF2-CE0AE3E44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175" y="723900"/>
          <a:ext cx="7772400" cy="58339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142875</xdr:rowOff>
    </xdr:from>
    <xdr:to>
      <xdr:col>12</xdr:col>
      <xdr:colOff>419100</xdr:colOff>
      <xdr:row>34</xdr:row>
      <xdr:rowOff>71338</xdr:rowOff>
    </xdr:to>
    <xdr:pic>
      <xdr:nvPicPr>
        <xdr:cNvPr id="16" name="Immagine 15">
          <a:extLst>
            <a:ext uri="{FF2B5EF4-FFF2-40B4-BE49-F238E27FC236}">
              <a16:creationId xmlns:a16="http://schemas.microsoft.com/office/drawing/2014/main" id="{7D9ED0D2-19CD-4F7D-B9D8-54CE83731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4375"/>
          <a:ext cx="7772400" cy="5833963"/>
        </a:xfrm>
        <a:prstGeom prst="rect">
          <a:avLst/>
        </a:prstGeom>
      </xdr:spPr>
    </xdr:pic>
    <xdr:clientData/>
  </xdr:twoCellAnchor>
  <xdr:twoCellAnchor editAs="oneCell">
    <xdr:from>
      <xdr:col>17</xdr:col>
      <xdr:colOff>266701</xdr:colOff>
      <xdr:row>23</xdr:row>
      <xdr:rowOff>11924</xdr:rowOff>
    </xdr:from>
    <xdr:to>
      <xdr:col>18</xdr:col>
      <xdr:colOff>349525</xdr:colOff>
      <xdr:row>26</xdr:row>
      <xdr:rowOff>186663</xdr:rowOff>
    </xdr:to>
    <xdr:pic macro="[0]!Interferenza_OFF">
      <xdr:nvPicPr>
        <xdr:cNvPr id="18" name="Immagine 17">
          <a:extLst>
            <a:ext uri="{FF2B5EF4-FFF2-40B4-BE49-F238E27FC236}">
              <a16:creationId xmlns:a16="http://schemas.microsoft.com/office/drawing/2014/main" id="{927FBFB5-2851-43E8-ABFE-E8E4F82F7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1" y="4393424"/>
          <a:ext cx="692424" cy="746239"/>
        </a:xfrm>
        <a:prstGeom prst="rect">
          <a:avLst/>
        </a:prstGeom>
      </xdr:spPr>
    </xdr:pic>
    <xdr:clientData/>
  </xdr:twoCellAnchor>
  <xdr:twoCellAnchor editAs="oneCell">
    <xdr:from>
      <xdr:col>15</xdr:col>
      <xdr:colOff>273826</xdr:colOff>
      <xdr:row>23</xdr:row>
      <xdr:rowOff>28574</xdr:rowOff>
    </xdr:from>
    <xdr:to>
      <xdr:col>16</xdr:col>
      <xdr:colOff>356650</xdr:colOff>
      <xdr:row>27</xdr:row>
      <xdr:rowOff>12813</xdr:rowOff>
    </xdr:to>
    <xdr:pic macro="[0]!Interferenza">
      <xdr:nvPicPr>
        <xdr:cNvPr id="20" name="Immagine 19">
          <a:extLst>
            <a:ext uri="{FF2B5EF4-FFF2-40B4-BE49-F238E27FC236}">
              <a16:creationId xmlns:a16="http://schemas.microsoft.com/office/drawing/2014/main" id="{6DB6F5A5-861F-4528-A3F8-ABE1D569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926" y="4410074"/>
          <a:ext cx="692424" cy="746239"/>
        </a:xfrm>
        <a:prstGeom prst="rect">
          <a:avLst/>
        </a:prstGeom>
      </xdr:spPr>
    </xdr:pic>
    <xdr:clientData/>
  </xdr:twoCellAnchor>
  <xdr:twoCellAnchor editAs="oneCell">
    <xdr:from>
      <xdr:col>25</xdr:col>
      <xdr:colOff>123826</xdr:colOff>
      <xdr:row>22</xdr:row>
      <xdr:rowOff>76199</xdr:rowOff>
    </xdr:from>
    <xdr:to>
      <xdr:col>30</xdr:col>
      <xdr:colOff>552450</xdr:colOff>
      <xdr:row>23</xdr:row>
      <xdr:rowOff>186570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C965EEE2-38FC-45F1-9D78-CE4291ED8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15401926" y="4267199"/>
          <a:ext cx="3476624" cy="300871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257176</xdr:colOff>
      <xdr:row>22</xdr:row>
      <xdr:rowOff>57149</xdr:rowOff>
    </xdr:from>
    <xdr:to>
      <xdr:col>9</xdr:col>
      <xdr:colOff>38100</xdr:colOff>
      <xdr:row>23</xdr:row>
      <xdr:rowOff>167520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BE0E6B5-D434-458A-8DA0-43C2A5DA0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2085976" y="4248149"/>
          <a:ext cx="3476624" cy="300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C11:AE42"/>
  <sheetViews>
    <sheetView showGridLines="0" showRowColHeaders="0" tabSelected="1" workbookViewId="0">
      <selection activeCell="N7" sqref="N7"/>
    </sheetView>
  </sheetViews>
  <sheetFormatPr defaultRowHeight="15" x14ac:dyDescent="0.25"/>
  <cols>
    <col min="5" max="5" width="9.7109375" bestFit="1" customWidth="1"/>
  </cols>
  <sheetData>
    <row r="11" spans="4:31" x14ac:dyDescent="0.25">
      <c r="Q11" s="5" t="s">
        <v>21</v>
      </c>
      <c r="R11" s="5" t="s">
        <v>21</v>
      </c>
    </row>
    <row r="14" spans="4:31" x14ac:dyDescent="0.25">
      <c r="D14" s="12" t="s">
        <v>23</v>
      </c>
      <c r="E14" s="15"/>
      <c r="G14" s="16" t="str">
        <f>TEXT('Interfaccia-utente'!G37,"00000000")</f>
        <v>01010101</v>
      </c>
      <c r="H14" s="16"/>
      <c r="I14" s="16"/>
      <c r="Z14" s="12" t="s">
        <v>23</v>
      </c>
      <c r="AA14" s="12"/>
      <c r="AC14" s="12" t="str">
        <f>TEXT(AC37,"00000000")</f>
        <v>00000000</v>
      </c>
      <c r="AD14" s="12"/>
      <c r="AE14" s="12"/>
    </row>
    <row r="15" spans="4:31" x14ac:dyDescent="0.25">
      <c r="D15" s="15"/>
      <c r="E15" s="15"/>
      <c r="G15" s="16"/>
      <c r="H15" s="16"/>
      <c r="I15" s="16"/>
      <c r="Z15" s="12"/>
      <c r="AA15" s="12"/>
      <c r="AC15" s="12"/>
      <c r="AD15" s="12"/>
      <c r="AE15" s="12"/>
    </row>
    <row r="17" spans="4:31" x14ac:dyDescent="0.25">
      <c r="D17" s="12" t="s">
        <v>24</v>
      </c>
      <c r="E17" s="12"/>
      <c r="G17" s="12" t="str">
        <f>'Intefaccia-macchina'!B103</f>
        <v>00000000</v>
      </c>
      <c r="H17" s="12"/>
      <c r="I17" s="12"/>
      <c r="Q17" s="5" t="s">
        <v>21</v>
      </c>
      <c r="R17" s="5" t="s">
        <v>21</v>
      </c>
      <c r="Z17" s="12" t="s">
        <v>24</v>
      </c>
      <c r="AA17" s="12"/>
      <c r="AC17" s="12" t="str">
        <f>TEXT('Intefaccia-macchina'!B31,"00000000")</f>
        <v>01010101</v>
      </c>
      <c r="AD17" s="12"/>
      <c r="AE17" s="12"/>
    </row>
    <row r="18" spans="4:31" x14ac:dyDescent="0.25">
      <c r="D18" s="12"/>
      <c r="E18" s="12"/>
      <c r="G18" s="12"/>
      <c r="H18" s="12"/>
      <c r="I18" s="12"/>
      <c r="Z18" s="12"/>
      <c r="AA18" s="12"/>
      <c r="AC18" s="12"/>
      <c r="AD18" s="12"/>
      <c r="AE18" s="12"/>
    </row>
    <row r="29" spans="4:31" x14ac:dyDescent="0.25">
      <c r="O29" s="17" t="s">
        <v>25</v>
      </c>
      <c r="P29" s="17"/>
      <c r="Q29" s="17"/>
      <c r="R29" s="17"/>
      <c r="S29" s="17"/>
      <c r="T29" s="17"/>
    </row>
    <row r="30" spans="4:31" ht="15" customHeight="1" x14ac:dyDescent="0.25">
      <c r="O30" s="17"/>
      <c r="P30" s="17"/>
      <c r="Q30" s="17"/>
      <c r="R30" s="17"/>
      <c r="S30" s="17"/>
      <c r="T30" s="17"/>
    </row>
    <row r="31" spans="4:31" x14ac:dyDescent="0.25">
      <c r="O31" s="17"/>
      <c r="P31" s="17"/>
      <c r="Q31" s="17"/>
      <c r="R31" s="17"/>
      <c r="S31" s="17"/>
      <c r="T31" s="17"/>
    </row>
    <row r="33" spans="3:31" x14ac:dyDescent="0.25">
      <c r="N33" s="21" t="s">
        <v>27</v>
      </c>
      <c r="O33" s="21"/>
      <c r="P33" s="21"/>
      <c r="Q33" s="21"/>
      <c r="R33" s="21"/>
      <c r="S33" s="21"/>
      <c r="T33" s="21"/>
      <c r="U33" s="21"/>
    </row>
    <row r="34" spans="3:31" x14ac:dyDescent="0.25">
      <c r="O34" s="20"/>
      <c r="P34" s="20"/>
      <c r="Q34" s="20"/>
      <c r="R34" s="20"/>
      <c r="S34" s="20"/>
      <c r="T34" s="20"/>
    </row>
    <row r="37" spans="3:31" x14ac:dyDescent="0.25">
      <c r="D37" s="12" t="s">
        <v>23</v>
      </c>
      <c r="E37" s="12"/>
      <c r="G37" s="13" t="s">
        <v>28</v>
      </c>
      <c r="H37" s="13"/>
      <c r="I37" s="13"/>
      <c r="Z37" s="12" t="s">
        <v>23</v>
      </c>
      <c r="AA37" s="12"/>
      <c r="AC37" s="13" t="s">
        <v>26</v>
      </c>
      <c r="AD37" s="13"/>
      <c r="AE37" s="13"/>
    </row>
    <row r="38" spans="3:31" x14ac:dyDescent="0.25">
      <c r="D38" s="12"/>
      <c r="E38" s="12"/>
      <c r="G38" s="14"/>
      <c r="H38" s="14"/>
      <c r="I38" s="14"/>
      <c r="Z38" s="12"/>
      <c r="AA38" s="12"/>
      <c r="AC38" s="14"/>
      <c r="AD38" s="14"/>
      <c r="AE38" s="14"/>
    </row>
    <row r="40" spans="3:31" ht="15" customHeight="1" x14ac:dyDescent="0.45">
      <c r="C40" s="3"/>
      <c r="D40" s="7"/>
      <c r="E40" s="7"/>
      <c r="F40" s="3"/>
      <c r="G40" s="8"/>
      <c r="H40" s="8"/>
      <c r="I40" s="8"/>
      <c r="J40" s="3"/>
      <c r="Z40" s="6"/>
      <c r="AA40" s="6"/>
      <c r="AC40" s="6"/>
      <c r="AD40" s="6"/>
      <c r="AE40" s="6"/>
    </row>
    <row r="41" spans="3:31" ht="15" customHeight="1" x14ac:dyDescent="0.45">
      <c r="C41" s="3"/>
      <c r="D41" s="7"/>
      <c r="E41" s="7"/>
      <c r="F41" s="3"/>
      <c r="G41" s="8"/>
      <c r="H41" s="8"/>
      <c r="I41" s="8"/>
      <c r="J41" s="3"/>
      <c r="Z41" s="6"/>
      <c r="AA41" s="6"/>
      <c r="AC41" s="6"/>
      <c r="AD41" s="6"/>
      <c r="AE41" s="6"/>
    </row>
    <row r="42" spans="3:31" x14ac:dyDescent="0.25">
      <c r="C42" s="3"/>
      <c r="D42" s="3"/>
      <c r="E42" s="3"/>
      <c r="F42" s="3"/>
      <c r="G42" s="3"/>
      <c r="H42" s="3"/>
      <c r="I42" s="3"/>
      <c r="J42" s="3"/>
    </row>
  </sheetData>
  <mergeCells count="14">
    <mergeCell ref="N33:U33"/>
    <mergeCell ref="Z37:AA38"/>
    <mergeCell ref="AC37:AE38"/>
    <mergeCell ref="D14:E15"/>
    <mergeCell ref="G14:I15"/>
    <mergeCell ref="D17:E18"/>
    <mergeCell ref="G17:I18"/>
    <mergeCell ref="D37:E38"/>
    <mergeCell ref="G37:I38"/>
    <mergeCell ref="O29:T31"/>
    <mergeCell ref="Z14:AA15"/>
    <mergeCell ref="Z17:AA18"/>
    <mergeCell ref="AC14:AE15"/>
    <mergeCell ref="AC17:AE18"/>
  </mergeCells>
  <conditionalFormatting sqref="Q17:R17 Q11:R11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8D0E7-2248-4F91-9C4F-B4611A1DA60A}">
  <sheetPr codeName="Foglio2"/>
  <dimension ref="A1:M138"/>
  <sheetViews>
    <sheetView workbookViewId="0">
      <selection activeCell="B4" sqref="B4:C4"/>
    </sheetView>
  </sheetViews>
  <sheetFormatPr defaultRowHeight="15" x14ac:dyDescent="0.25"/>
  <cols>
    <col min="1" max="1" width="29" bestFit="1" customWidth="1"/>
    <col min="2" max="2" width="9.7109375" bestFit="1" customWidth="1"/>
  </cols>
  <sheetData>
    <row r="1" spans="1:13" x14ac:dyDescent="0.25">
      <c r="A1" s="2" t="s">
        <v>0</v>
      </c>
    </row>
    <row r="2" spans="1:13" x14ac:dyDescent="0.25">
      <c r="A2" s="2"/>
    </row>
    <row r="3" spans="1:13" x14ac:dyDescent="0.25">
      <c r="A3" s="2" t="s">
        <v>8</v>
      </c>
      <c r="B3" s="1" t="str">
        <f>TRIM(TEXT('Interfaccia-utente'!G37,"00000000"))</f>
        <v>01010101</v>
      </c>
    </row>
    <row r="4" spans="1:13" x14ac:dyDescent="0.25">
      <c r="A4" s="2" t="s">
        <v>9</v>
      </c>
      <c r="B4" s="18" t="str">
        <f>IF(EXACT(B138,1),TEXT(CONCATENATE(B24,C24,D24,E24,F24,G24,H24,I24,J24,K24,L24,M24),"00000000"),TEXT(CONCATENATE(B10,C10,D10,E10,F10,G10,H10,I10,J10,K10,L10,M10),"000000000000"))</f>
        <v>000110100101</v>
      </c>
      <c r="C4" s="18"/>
    </row>
    <row r="5" spans="1:13" x14ac:dyDescent="0.25">
      <c r="A5" s="2"/>
    </row>
    <row r="6" spans="1:13" x14ac:dyDescent="0.25">
      <c r="A6" s="2"/>
      <c r="B6" s="4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/>
      <c r="K6" s="4"/>
      <c r="L6" s="4"/>
      <c r="M6" s="4"/>
    </row>
    <row r="7" spans="1:13" x14ac:dyDescent="0.25">
      <c r="A7" s="2" t="s">
        <v>2</v>
      </c>
      <c r="B7" s="4" t="str">
        <f>MID($B$3,B6,1)</f>
        <v>0</v>
      </c>
      <c r="C7" s="4" t="str">
        <f t="shared" ref="C7:I7" si="0">MID($B$3,C6,1)</f>
        <v>1</v>
      </c>
      <c r="D7" s="4" t="str">
        <f t="shared" si="0"/>
        <v>0</v>
      </c>
      <c r="E7" s="4" t="str">
        <f>MID($B$3,E6,1)</f>
        <v>1</v>
      </c>
      <c r="F7" s="4" t="str">
        <f>MID($B$3,F6,1)</f>
        <v>0</v>
      </c>
      <c r="G7" s="4" t="str">
        <f t="shared" si="0"/>
        <v>1</v>
      </c>
      <c r="H7" s="4" t="str">
        <f t="shared" si="0"/>
        <v>0</v>
      </c>
      <c r="I7" s="4" t="str">
        <f t="shared" si="0"/>
        <v>1</v>
      </c>
      <c r="J7" s="4"/>
      <c r="K7" s="4"/>
      <c r="L7" s="4"/>
      <c r="M7" s="4"/>
    </row>
    <row r="8" spans="1:13" x14ac:dyDescent="0.25">
      <c r="A8" s="2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x14ac:dyDescent="0.25">
      <c r="A9" s="2"/>
      <c r="B9" s="4">
        <v>1</v>
      </c>
      <c r="C9" s="4">
        <v>2</v>
      </c>
      <c r="D9" s="4">
        <v>3</v>
      </c>
      <c r="E9" s="4">
        <v>4</v>
      </c>
      <c r="F9" s="4">
        <v>5</v>
      </c>
      <c r="G9" s="4">
        <v>6</v>
      </c>
      <c r="H9" s="4">
        <v>7</v>
      </c>
      <c r="I9" s="4">
        <v>8</v>
      </c>
      <c r="J9" s="4">
        <v>9</v>
      </c>
      <c r="K9" s="4">
        <v>10</v>
      </c>
      <c r="L9" s="4">
        <v>11</v>
      </c>
      <c r="M9" s="4">
        <v>12</v>
      </c>
    </row>
    <row r="10" spans="1:13" x14ac:dyDescent="0.25">
      <c r="A10" s="2" t="s">
        <v>3</v>
      </c>
      <c r="B10" s="4">
        <f>B13</f>
        <v>0</v>
      </c>
      <c r="C10" s="4">
        <f>B16</f>
        <v>0</v>
      </c>
      <c r="D10" s="4" t="str">
        <f>B7</f>
        <v>0</v>
      </c>
      <c r="E10" s="4">
        <f>B19</f>
        <v>1</v>
      </c>
      <c r="F10" s="4" t="str">
        <f>C7</f>
        <v>1</v>
      </c>
      <c r="G10" s="4" t="str">
        <f t="shared" ref="G10:H10" si="1">D7</f>
        <v>0</v>
      </c>
      <c r="H10" s="4" t="str">
        <f t="shared" si="1"/>
        <v>1</v>
      </c>
      <c r="I10" s="4">
        <f>B22</f>
        <v>0</v>
      </c>
      <c r="J10" s="4" t="str">
        <f>F7</f>
        <v>0</v>
      </c>
      <c r="K10" s="4" t="str">
        <f>G7</f>
        <v>1</v>
      </c>
      <c r="L10" s="4" t="str">
        <f t="shared" ref="L10:M10" si="2">H7</f>
        <v>0</v>
      </c>
      <c r="M10" s="4" t="str">
        <f t="shared" si="2"/>
        <v>1</v>
      </c>
    </row>
    <row r="11" spans="1:13" x14ac:dyDescent="0.25">
      <c r="A11" s="2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2"/>
      <c r="B12" s="4"/>
      <c r="C12" s="4">
        <v>3</v>
      </c>
      <c r="D12" s="4">
        <v>5</v>
      </c>
      <c r="E12" s="4">
        <v>7</v>
      </c>
      <c r="F12" s="4">
        <v>9</v>
      </c>
      <c r="G12" s="4">
        <v>11</v>
      </c>
      <c r="H12" s="4"/>
      <c r="I12" s="4"/>
      <c r="J12" s="4"/>
      <c r="K12" s="4"/>
      <c r="L12" s="4"/>
      <c r="M12" s="4"/>
    </row>
    <row r="13" spans="1:13" x14ac:dyDescent="0.25">
      <c r="A13" s="2" t="s">
        <v>4</v>
      </c>
      <c r="B13" s="4">
        <f>IF(ISEVEN(C13+D13+E13+F13+G13),0,1)</f>
        <v>0</v>
      </c>
      <c r="C13" s="4" t="str">
        <f>D10</f>
        <v>0</v>
      </c>
      <c r="D13" s="4" t="str">
        <f>F10</f>
        <v>1</v>
      </c>
      <c r="E13" s="4" t="str">
        <f>H10</f>
        <v>1</v>
      </c>
      <c r="F13" s="4" t="str">
        <f>J10</f>
        <v>0</v>
      </c>
      <c r="G13" s="4" t="str">
        <f>L10</f>
        <v>0</v>
      </c>
      <c r="H13" s="4"/>
      <c r="I13" s="4"/>
      <c r="J13" s="4"/>
      <c r="K13" s="4"/>
      <c r="L13" s="4"/>
      <c r="M13" s="4"/>
    </row>
    <row r="14" spans="1:13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25">
      <c r="A15" s="2"/>
      <c r="B15" s="4"/>
      <c r="C15" s="4">
        <v>3</v>
      </c>
      <c r="D15" s="4">
        <v>6</v>
      </c>
      <c r="E15" s="4">
        <v>7</v>
      </c>
      <c r="F15" s="4">
        <v>10</v>
      </c>
      <c r="G15" s="4">
        <v>11</v>
      </c>
      <c r="H15" s="4"/>
      <c r="I15" s="4"/>
      <c r="J15" s="4"/>
      <c r="K15" s="4"/>
      <c r="L15" s="4"/>
      <c r="M15" s="4"/>
    </row>
    <row r="16" spans="1:13" x14ac:dyDescent="0.25">
      <c r="A16" s="2" t="s">
        <v>5</v>
      </c>
      <c r="B16" s="4">
        <f t="shared" ref="B16" si="3">IF(ISEVEN(C16+D16+E16+F16+G16),0,1)</f>
        <v>0</v>
      </c>
      <c r="C16" s="4" t="str">
        <f>D10</f>
        <v>0</v>
      </c>
      <c r="D16" s="4" t="str">
        <f>G10</f>
        <v>0</v>
      </c>
      <c r="E16" s="4" t="str">
        <f>H10</f>
        <v>1</v>
      </c>
      <c r="F16" s="4" t="str">
        <f>K10</f>
        <v>1</v>
      </c>
      <c r="G16" s="4" t="str">
        <f>L10</f>
        <v>0</v>
      </c>
      <c r="H16" s="4"/>
      <c r="I16" s="4"/>
      <c r="J16" s="4"/>
      <c r="K16" s="4"/>
      <c r="L16" s="4"/>
      <c r="M16" s="4"/>
    </row>
    <row r="17" spans="1:13" x14ac:dyDescent="0.25">
      <c r="A17" s="2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 x14ac:dyDescent="0.25">
      <c r="A18" s="2"/>
      <c r="B18" s="4"/>
      <c r="C18" s="4">
        <v>5</v>
      </c>
      <c r="D18" s="4">
        <v>6</v>
      </c>
      <c r="E18" s="4">
        <v>7</v>
      </c>
      <c r="F18" s="4">
        <v>12</v>
      </c>
      <c r="G18" s="4"/>
      <c r="H18" s="4"/>
      <c r="I18" s="4"/>
      <c r="J18" s="4"/>
      <c r="K18" s="4"/>
      <c r="L18" s="4"/>
      <c r="M18" s="4"/>
    </row>
    <row r="19" spans="1:13" x14ac:dyDescent="0.25">
      <c r="A19" s="2" t="s">
        <v>6</v>
      </c>
      <c r="B19" s="4">
        <f>IF(ISEVEN(C19+D19+E19+F19),0,1)</f>
        <v>1</v>
      </c>
      <c r="C19" s="4" t="str">
        <f>F10</f>
        <v>1</v>
      </c>
      <c r="D19" s="4" t="str">
        <f>G10</f>
        <v>0</v>
      </c>
      <c r="E19" s="4" t="str">
        <f>H10</f>
        <v>1</v>
      </c>
      <c r="F19" s="4" t="str">
        <f>M10</f>
        <v>1</v>
      </c>
      <c r="G19" s="4"/>
      <c r="H19" s="4"/>
      <c r="I19" s="4"/>
      <c r="J19" s="4"/>
      <c r="K19" s="4"/>
      <c r="L19" s="4"/>
      <c r="M19" s="4"/>
    </row>
    <row r="20" spans="1:13" x14ac:dyDescent="0.25">
      <c r="A20" s="2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x14ac:dyDescent="0.25">
      <c r="A21" s="2"/>
      <c r="B21" s="4"/>
      <c r="C21" s="4">
        <v>9</v>
      </c>
      <c r="D21" s="4">
        <v>10</v>
      </c>
      <c r="E21" s="4">
        <v>11</v>
      </c>
      <c r="F21" s="4">
        <v>12</v>
      </c>
      <c r="G21" s="4"/>
      <c r="H21" s="4"/>
      <c r="I21" s="4"/>
      <c r="J21" s="4"/>
      <c r="K21" s="4"/>
      <c r="L21" s="4"/>
      <c r="M21" s="4"/>
    </row>
    <row r="22" spans="1:13" x14ac:dyDescent="0.25">
      <c r="A22" s="2" t="s">
        <v>7</v>
      </c>
      <c r="B22" s="4">
        <f t="shared" ref="B22" si="4">IF(ISEVEN(C22+D22+E22+F22),0,1)</f>
        <v>0</v>
      </c>
      <c r="C22" s="4" t="str">
        <f>J10</f>
        <v>0</v>
      </c>
      <c r="D22" s="4" t="str">
        <f>K10</f>
        <v>1</v>
      </c>
      <c r="E22" s="4" t="str">
        <f>L10</f>
        <v>0</v>
      </c>
      <c r="F22" s="4" t="str">
        <f>M10</f>
        <v>1</v>
      </c>
      <c r="G22" s="4"/>
      <c r="H22" s="4"/>
      <c r="I22" s="4"/>
      <c r="J22" s="4"/>
      <c r="K22" s="4"/>
      <c r="L22" s="4"/>
      <c r="M22" s="4"/>
    </row>
    <row r="23" spans="1:13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t="s">
        <v>22</v>
      </c>
      <c r="B24" s="4">
        <f t="shared" ref="B24:G24" si="5">B10</f>
        <v>0</v>
      </c>
      <c r="C24" s="4">
        <f t="shared" si="5"/>
        <v>0</v>
      </c>
      <c r="D24" s="4" t="str">
        <f t="shared" si="5"/>
        <v>0</v>
      </c>
      <c r="E24" s="4">
        <f t="shared" si="5"/>
        <v>1</v>
      </c>
      <c r="F24" s="4" t="str">
        <f t="shared" si="5"/>
        <v>1</v>
      </c>
      <c r="G24" s="4" t="str">
        <f t="shared" si="5"/>
        <v>0</v>
      </c>
      <c r="H24" s="9">
        <f>IF(EXACT(H10,1),0,1)</f>
        <v>0</v>
      </c>
      <c r="I24" s="4">
        <f>I10</f>
        <v>0</v>
      </c>
      <c r="J24" s="4" t="str">
        <f>J10</f>
        <v>0</v>
      </c>
      <c r="K24" s="4" t="str">
        <f>K10</f>
        <v>1</v>
      </c>
      <c r="L24" s="4" t="str">
        <f>L10</f>
        <v>0</v>
      </c>
      <c r="M24" s="4" t="str">
        <f>M10</f>
        <v>1</v>
      </c>
    </row>
    <row r="29" spans="1:13" x14ac:dyDescent="0.25">
      <c r="A29" t="s">
        <v>10</v>
      </c>
    </row>
    <row r="30" spans="1:13" x14ac:dyDescent="0.25">
      <c r="A30" t="s">
        <v>1</v>
      </c>
      <c r="B30" s="19" t="str">
        <f>TEXT(B4,"000000000000")</f>
        <v>000110100101</v>
      </c>
      <c r="C30" s="19"/>
    </row>
    <row r="31" spans="1:13" x14ac:dyDescent="0.25">
      <c r="A31" t="s">
        <v>11</v>
      </c>
      <c r="B31" s="18" t="str">
        <f>TEXT(CONCATENATE(D60,F60,G60,H60,J60,K60,L60,M60),"00000000")</f>
        <v>01010101</v>
      </c>
      <c r="C31" s="18"/>
    </row>
    <row r="33" spans="1:13" x14ac:dyDescent="0.25">
      <c r="B33" s="4">
        <v>1</v>
      </c>
      <c r="C33" s="4">
        <v>2</v>
      </c>
      <c r="D33" s="4">
        <v>3</v>
      </c>
      <c r="E33" s="4">
        <v>4</v>
      </c>
      <c r="F33" s="4">
        <v>5</v>
      </c>
      <c r="G33" s="4">
        <v>6</v>
      </c>
      <c r="H33" s="4">
        <v>7</v>
      </c>
      <c r="I33" s="4">
        <v>8</v>
      </c>
      <c r="J33" s="4">
        <v>9</v>
      </c>
      <c r="K33" s="4">
        <v>10</v>
      </c>
      <c r="L33" s="4">
        <v>11</v>
      </c>
      <c r="M33" s="4">
        <v>12</v>
      </c>
    </row>
    <row r="34" spans="1:13" x14ac:dyDescent="0.25">
      <c r="A34" t="s">
        <v>2</v>
      </c>
      <c r="B34" s="4" t="str">
        <f>MID($B$30,B33,1)</f>
        <v>0</v>
      </c>
      <c r="C34" s="4" t="str">
        <f t="shared" ref="C34:M34" si="6">MID($B$30,C33,1)</f>
        <v>0</v>
      </c>
      <c r="D34" s="4" t="str">
        <f t="shared" si="6"/>
        <v>0</v>
      </c>
      <c r="E34" s="4" t="str">
        <f t="shared" si="6"/>
        <v>1</v>
      </c>
      <c r="F34" s="4" t="str">
        <f t="shared" si="6"/>
        <v>1</v>
      </c>
      <c r="G34" s="4" t="str">
        <f t="shared" si="6"/>
        <v>0</v>
      </c>
      <c r="H34" s="4" t="str">
        <f t="shared" si="6"/>
        <v>1</v>
      </c>
      <c r="I34" s="4" t="str">
        <f t="shared" si="6"/>
        <v>0</v>
      </c>
      <c r="J34" s="4" t="str">
        <f t="shared" si="6"/>
        <v>0</v>
      </c>
      <c r="K34" s="4" t="str">
        <f t="shared" si="6"/>
        <v>1</v>
      </c>
      <c r="L34" s="4" t="str">
        <f t="shared" si="6"/>
        <v>0</v>
      </c>
      <c r="M34" s="4" t="str">
        <f t="shared" si="6"/>
        <v>1</v>
      </c>
    </row>
    <row r="35" spans="1:13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B37" s="4">
        <v>1</v>
      </c>
      <c r="C37" s="4">
        <v>3</v>
      </c>
      <c r="D37" s="4">
        <v>5</v>
      </c>
      <c r="E37" s="4">
        <v>7</v>
      </c>
      <c r="F37" s="4">
        <v>9</v>
      </c>
      <c r="G37" s="4">
        <v>11</v>
      </c>
      <c r="H37" s="4"/>
      <c r="I37" s="4"/>
      <c r="J37" s="4"/>
      <c r="K37" s="4"/>
      <c r="L37" s="4"/>
      <c r="M37" s="4"/>
    </row>
    <row r="38" spans="1:13" x14ac:dyDescent="0.25">
      <c r="A38" t="s">
        <v>12</v>
      </c>
      <c r="B38" s="4" t="str">
        <f>B34</f>
        <v>0</v>
      </c>
      <c r="C38" s="4" t="str">
        <f>D34</f>
        <v>0</v>
      </c>
      <c r="D38" s="4" t="str">
        <f>F34</f>
        <v>1</v>
      </c>
      <c r="E38" s="4" t="str">
        <f>H34</f>
        <v>1</v>
      </c>
      <c r="F38" s="4" t="str">
        <f>J34</f>
        <v>0</v>
      </c>
      <c r="G38" s="4" t="str">
        <f>L34</f>
        <v>0</v>
      </c>
      <c r="H38" s="4"/>
      <c r="I38" s="4"/>
      <c r="J38" s="4"/>
      <c r="K38" s="4"/>
      <c r="L38" s="4"/>
      <c r="M38" s="4"/>
    </row>
    <row r="39" spans="1:13" x14ac:dyDescent="0.25">
      <c r="A39" t="s">
        <v>15</v>
      </c>
      <c r="B39" s="4">
        <f>IF(ISEVEN(C39+D39+E39+F39+G39),0,1)</f>
        <v>0</v>
      </c>
      <c r="C39" s="4" t="str">
        <f>D34</f>
        <v>0</v>
      </c>
      <c r="D39" s="4" t="str">
        <f>F34</f>
        <v>1</v>
      </c>
      <c r="E39" s="4" t="str">
        <f>H34</f>
        <v>1</v>
      </c>
      <c r="F39" s="4" t="str">
        <f>J34</f>
        <v>0</v>
      </c>
      <c r="G39" s="4" t="str">
        <f>L34</f>
        <v>0</v>
      </c>
      <c r="H39" s="4"/>
      <c r="I39" s="4"/>
      <c r="J39" s="4"/>
      <c r="K39" s="4"/>
      <c r="L39" s="4"/>
      <c r="M39" s="4"/>
    </row>
    <row r="40" spans="1:13" x14ac:dyDescent="0.25">
      <c r="A40" t="s">
        <v>14</v>
      </c>
      <c r="B40" s="4" t="b">
        <f>EXACT(B38,B39)</f>
        <v>1</v>
      </c>
      <c r="C40" s="4">
        <f>IF(B40=TRUE,0,B37)</f>
        <v>0</v>
      </c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B42" s="4">
        <v>2</v>
      </c>
      <c r="C42" s="4">
        <v>3</v>
      </c>
      <c r="D42" s="4">
        <v>6</v>
      </c>
      <c r="E42" s="4">
        <v>7</v>
      </c>
      <c r="F42" s="4">
        <v>10</v>
      </c>
      <c r="G42" s="4">
        <v>11</v>
      </c>
      <c r="H42" s="4"/>
      <c r="I42" s="4"/>
      <c r="J42" s="4"/>
      <c r="K42" s="4"/>
      <c r="L42" s="4"/>
      <c r="M42" s="4"/>
    </row>
    <row r="43" spans="1:13" x14ac:dyDescent="0.25">
      <c r="A43" t="s">
        <v>13</v>
      </c>
      <c r="B43" s="4" t="str">
        <f>C34</f>
        <v>0</v>
      </c>
      <c r="C43" s="4" t="str">
        <f>D34</f>
        <v>0</v>
      </c>
      <c r="D43" s="4" t="str">
        <f>G34</f>
        <v>0</v>
      </c>
      <c r="E43" s="4" t="str">
        <f>H34</f>
        <v>1</v>
      </c>
      <c r="F43" s="4" t="str">
        <f>K34</f>
        <v>1</v>
      </c>
      <c r="G43" s="4" t="str">
        <f>L34</f>
        <v>0</v>
      </c>
      <c r="H43" s="4"/>
      <c r="I43" s="4"/>
      <c r="J43" s="4"/>
      <c r="K43" s="4"/>
      <c r="L43" s="4"/>
      <c r="M43" s="4"/>
    </row>
    <row r="44" spans="1:13" x14ac:dyDescent="0.25">
      <c r="A44" t="s">
        <v>16</v>
      </c>
      <c r="B44" s="4">
        <f>IF(ISEVEN(C44+D44+E44+F44+G44),0,1)</f>
        <v>0</v>
      </c>
      <c r="C44" s="4" t="str">
        <f>D34</f>
        <v>0</v>
      </c>
      <c r="D44" s="4" t="str">
        <f>G34</f>
        <v>0</v>
      </c>
      <c r="E44" s="4" t="str">
        <f>H34</f>
        <v>1</v>
      </c>
      <c r="F44" s="4" t="str">
        <f>K34</f>
        <v>1</v>
      </c>
      <c r="G44" s="4" t="str">
        <f>L34</f>
        <v>0</v>
      </c>
      <c r="H44" s="4"/>
      <c r="I44" s="4"/>
      <c r="J44" s="4"/>
      <c r="K44" s="4"/>
      <c r="L44" s="4"/>
      <c r="M44" s="4"/>
    </row>
    <row r="45" spans="1:13" x14ac:dyDescent="0.25">
      <c r="A45" t="s">
        <v>14</v>
      </c>
      <c r="B45" s="4" t="b">
        <f>EXACT(B43,B44)</f>
        <v>1</v>
      </c>
      <c r="C45" s="4">
        <f>IF(B45=TRUE,0,B42)</f>
        <v>0</v>
      </c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B47" s="4">
        <v>4</v>
      </c>
      <c r="C47" s="4">
        <v>5</v>
      </c>
      <c r="D47" s="4">
        <v>6</v>
      </c>
      <c r="E47" s="4">
        <v>7</v>
      </c>
      <c r="F47" s="4">
        <v>12</v>
      </c>
      <c r="G47" s="4"/>
      <c r="H47" s="4"/>
      <c r="I47" s="4"/>
      <c r="J47" s="4"/>
      <c r="K47" s="4"/>
      <c r="L47" s="4"/>
      <c r="M47" s="4"/>
    </row>
    <row r="48" spans="1:13" x14ac:dyDescent="0.25">
      <c r="A48" t="s">
        <v>19</v>
      </c>
      <c r="B48" s="4" t="str">
        <f>E34</f>
        <v>1</v>
      </c>
      <c r="C48" s="4" t="str">
        <f>F34</f>
        <v>1</v>
      </c>
      <c r="D48" s="4" t="str">
        <f>G34</f>
        <v>0</v>
      </c>
      <c r="E48" s="4" t="str">
        <f>H34</f>
        <v>1</v>
      </c>
      <c r="F48" s="4" t="str">
        <f>M34</f>
        <v>1</v>
      </c>
      <c r="G48" s="4"/>
      <c r="H48" s="4"/>
      <c r="I48" s="4"/>
      <c r="J48" s="4"/>
      <c r="K48" s="4"/>
      <c r="L48" s="4"/>
      <c r="M48" s="4"/>
    </row>
    <row r="49" spans="1:13" x14ac:dyDescent="0.25">
      <c r="A49" t="s">
        <v>17</v>
      </c>
      <c r="B49" s="4">
        <f>IF(ISEVEN(C49+D49+E49+F49+G49),0,1)</f>
        <v>1</v>
      </c>
      <c r="C49" s="4" t="str">
        <f>F34</f>
        <v>1</v>
      </c>
      <c r="D49" s="4" t="str">
        <f>G34</f>
        <v>0</v>
      </c>
      <c r="E49" s="4" t="str">
        <f>H34</f>
        <v>1</v>
      </c>
      <c r="F49" s="4" t="str">
        <f>M34</f>
        <v>1</v>
      </c>
      <c r="G49" s="4"/>
      <c r="H49" s="4"/>
      <c r="I49" s="4"/>
      <c r="J49" s="4"/>
      <c r="K49" s="4"/>
      <c r="L49" s="4"/>
      <c r="M49" s="4"/>
    </row>
    <row r="50" spans="1:13" x14ac:dyDescent="0.25">
      <c r="A50" t="s">
        <v>14</v>
      </c>
      <c r="B50" s="4" t="b">
        <f>EXACT(B48,B49)</f>
        <v>1</v>
      </c>
      <c r="C50" s="4">
        <f>IF(B50=TRUE,0,B47)</f>
        <v>0</v>
      </c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B52" s="4">
        <v>8</v>
      </c>
      <c r="C52" s="4">
        <v>9</v>
      </c>
      <c r="D52" s="4">
        <v>10</v>
      </c>
      <c r="E52" s="4">
        <v>11</v>
      </c>
      <c r="F52" s="4">
        <v>12</v>
      </c>
      <c r="G52" s="4"/>
      <c r="H52" s="4"/>
      <c r="I52" s="4"/>
      <c r="J52" s="4"/>
      <c r="K52" s="4"/>
      <c r="L52" s="4"/>
      <c r="M52" s="4"/>
    </row>
    <row r="53" spans="1:13" x14ac:dyDescent="0.25">
      <c r="A53" t="s">
        <v>18</v>
      </c>
      <c r="B53" s="4" t="str">
        <f>I34</f>
        <v>0</v>
      </c>
      <c r="C53" s="4" t="str">
        <f>J34</f>
        <v>0</v>
      </c>
      <c r="D53" s="4" t="str">
        <f>K34</f>
        <v>1</v>
      </c>
      <c r="E53" s="4" t="str">
        <f>L34</f>
        <v>0</v>
      </c>
      <c r="F53" s="4" t="str">
        <f>M34</f>
        <v>1</v>
      </c>
      <c r="G53" s="4"/>
      <c r="H53" s="4"/>
      <c r="I53" s="4"/>
      <c r="J53" s="4"/>
      <c r="K53" s="4"/>
      <c r="L53" s="4"/>
      <c r="M53" s="4"/>
    </row>
    <row r="54" spans="1:13" x14ac:dyDescent="0.25">
      <c r="A54" t="s">
        <v>18</v>
      </c>
      <c r="B54" s="4">
        <f>IF(ISEVEN(C54+D54+E54+F54+G54),0,1)</f>
        <v>0</v>
      </c>
      <c r="C54" s="4" t="str">
        <f>J34</f>
        <v>0</v>
      </c>
      <c r="D54" s="4" t="str">
        <f>K34</f>
        <v>1</v>
      </c>
      <c r="E54" s="4" t="str">
        <f>L34</f>
        <v>0</v>
      </c>
      <c r="F54" s="4" t="str">
        <f>M34</f>
        <v>1</v>
      </c>
      <c r="G54" s="4"/>
      <c r="H54" s="4"/>
      <c r="I54" s="4"/>
      <c r="J54" s="4"/>
      <c r="K54" s="4"/>
      <c r="L54" s="4"/>
      <c r="M54" s="4"/>
    </row>
    <row r="55" spans="1:13" x14ac:dyDescent="0.25">
      <c r="A55" t="s">
        <v>14</v>
      </c>
      <c r="B55" s="4" t="b">
        <f>EXACT(B53,B54)</f>
        <v>1</v>
      </c>
      <c r="C55" s="4">
        <f>IF(B55=TRUE,0,B52)</f>
        <v>0</v>
      </c>
    </row>
    <row r="57" spans="1:13" x14ac:dyDescent="0.25">
      <c r="A57" t="s">
        <v>20</v>
      </c>
      <c r="B57">
        <f>SUM(C40+C45+C50+C55)</f>
        <v>0</v>
      </c>
    </row>
    <row r="59" spans="1:13" x14ac:dyDescent="0.25">
      <c r="B59" s="4">
        <v>1</v>
      </c>
      <c r="C59" s="4">
        <v>2</v>
      </c>
      <c r="D59" s="4">
        <v>3</v>
      </c>
      <c r="E59" s="4">
        <v>4</v>
      </c>
      <c r="F59" s="4">
        <v>5</v>
      </c>
      <c r="G59" s="4">
        <v>6</v>
      </c>
      <c r="H59" s="4">
        <v>7</v>
      </c>
      <c r="I59" s="4">
        <v>8</v>
      </c>
      <c r="J59" s="4">
        <v>9</v>
      </c>
      <c r="K59" s="4">
        <v>10</v>
      </c>
      <c r="L59" s="4">
        <v>11</v>
      </c>
      <c r="M59" s="4">
        <v>12</v>
      </c>
    </row>
    <row r="60" spans="1:13" x14ac:dyDescent="0.25">
      <c r="A60" t="s">
        <v>2</v>
      </c>
      <c r="B60" s="4" t="str">
        <f>IF(EXACT($B$57,B59),IF(EXACT(B60,0),1,0),B34)</f>
        <v>0</v>
      </c>
      <c r="C60" s="10" t="str">
        <f t="shared" ref="C60:M60" si="7">IF(EXACT($B$57,C59),IF(EXACT(C60,0),1,0),C34)</f>
        <v>0</v>
      </c>
      <c r="D60" s="10" t="str">
        <f t="shared" si="7"/>
        <v>0</v>
      </c>
      <c r="E60" s="10" t="str">
        <f t="shared" si="7"/>
        <v>1</v>
      </c>
      <c r="F60" s="10" t="str">
        <f t="shared" si="7"/>
        <v>1</v>
      </c>
      <c r="G60" s="10" t="str">
        <f t="shared" si="7"/>
        <v>0</v>
      </c>
      <c r="H60" s="10" t="str">
        <f t="shared" si="7"/>
        <v>1</v>
      </c>
      <c r="I60" s="10" t="str">
        <f t="shared" si="7"/>
        <v>0</v>
      </c>
      <c r="J60" s="10" t="str">
        <f t="shared" si="7"/>
        <v>0</v>
      </c>
      <c r="K60" s="10" t="str">
        <f t="shared" si="7"/>
        <v>1</v>
      </c>
      <c r="L60" s="10" t="str">
        <f t="shared" si="7"/>
        <v>0</v>
      </c>
      <c r="M60" s="10" t="str">
        <f t="shared" si="7"/>
        <v>1</v>
      </c>
    </row>
    <row r="73" spans="1:13" x14ac:dyDescent="0.25">
      <c r="A73" s="2" t="s">
        <v>10</v>
      </c>
    </row>
    <row r="74" spans="1:13" x14ac:dyDescent="0.25">
      <c r="A74" s="2"/>
    </row>
    <row r="75" spans="1:13" x14ac:dyDescent="0.25">
      <c r="A75" s="2" t="s">
        <v>8</v>
      </c>
      <c r="B75" s="1" t="str">
        <f>TRIM(TEXT('Interfaccia-utente'!AC37,"00000000"))</f>
        <v>00000000</v>
      </c>
    </row>
    <row r="76" spans="1:13" x14ac:dyDescent="0.25">
      <c r="A76" s="2" t="s">
        <v>9</v>
      </c>
      <c r="B76" s="18" t="str">
        <f>IF(EXACT(B210,1),TEXT(CONCATENATE(B96,C96,D96,E96,F96,G96,H96,I96,J96,K96,L96,M96),"00000000"),TEXT(CONCATENATE(B82,C82,D82,E82,F82,G82,H82,I82,J82,K82,L82,M82),"000000000000"))</f>
        <v>000000000000</v>
      </c>
      <c r="C76" s="18"/>
    </row>
    <row r="77" spans="1:13" x14ac:dyDescent="0.25">
      <c r="A77" s="2"/>
    </row>
    <row r="78" spans="1:13" x14ac:dyDescent="0.25">
      <c r="A78" s="2"/>
      <c r="B78" s="4">
        <v>1</v>
      </c>
      <c r="C78" s="4">
        <v>2</v>
      </c>
      <c r="D78" s="4">
        <v>3</v>
      </c>
      <c r="E78" s="4">
        <v>4</v>
      </c>
      <c r="F78" s="4">
        <v>5</v>
      </c>
      <c r="G78" s="4">
        <v>6</v>
      </c>
      <c r="H78" s="4">
        <v>7</v>
      </c>
      <c r="I78" s="4">
        <v>8</v>
      </c>
      <c r="J78" s="4"/>
      <c r="K78" s="4"/>
      <c r="L78" s="4"/>
      <c r="M78" s="4"/>
    </row>
    <row r="79" spans="1:13" x14ac:dyDescent="0.25">
      <c r="A79" s="2" t="s">
        <v>2</v>
      </c>
      <c r="B79" s="4" t="str">
        <f>MID($B$75,B78,1)</f>
        <v>0</v>
      </c>
      <c r="C79" s="4" t="str">
        <f t="shared" ref="C79:I79" si="8">MID($B$75,C78,1)</f>
        <v>0</v>
      </c>
      <c r="D79" s="4" t="str">
        <f t="shared" si="8"/>
        <v>0</v>
      </c>
      <c r="E79" s="4" t="str">
        <f t="shared" si="8"/>
        <v>0</v>
      </c>
      <c r="F79" s="4" t="str">
        <f t="shared" si="8"/>
        <v>0</v>
      </c>
      <c r="G79" s="4" t="str">
        <f t="shared" si="8"/>
        <v>0</v>
      </c>
      <c r="H79" s="4" t="str">
        <f t="shared" si="8"/>
        <v>0</v>
      </c>
      <c r="I79" s="4" t="str">
        <f t="shared" si="8"/>
        <v>0</v>
      </c>
      <c r="J79" s="4"/>
      <c r="K79" s="4"/>
      <c r="L79" s="4"/>
      <c r="M79" s="4"/>
    </row>
    <row r="80" spans="1:13" x14ac:dyDescent="0.25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 x14ac:dyDescent="0.25">
      <c r="A81" s="2"/>
      <c r="B81" s="4">
        <v>1</v>
      </c>
      <c r="C81" s="4">
        <v>2</v>
      </c>
      <c r="D81" s="4">
        <v>3</v>
      </c>
      <c r="E81" s="4">
        <v>4</v>
      </c>
      <c r="F81" s="4">
        <v>5</v>
      </c>
      <c r="G81" s="4">
        <v>6</v>
      </c>
      <c r="H81" s="4">
        <v>7</v>
      </c>
      <c r="I81" s="4">
        <v>8</v>
      </c>
      <c r="J81" s="4">
        <v>9</v>
      </c>
      <c r="K81" s="4">
        <v>10</v>
      </c>
      <c r="L81" s="4">
        <v>11</v>
      </c>
      <c r="M81" s="4">
        <v>12</v>
      </c>
    </row>
    <row r="82" spans="1:13" x14ac:dyDescent="0.25">
      <c r="A82" s="2" t="s">
        <v>3</v>
      </c>
      <c r="B82" s="4">
        <f>B85</f>
        <v>0</v>
      </c>
      <c r="C82" s="4">
        <f>B88</f>
        <v>0</v>
      </c>
      <c r="D82" s="4" t="str">
        <f>B79</f>
        <v>0</v>
      </c>
      <c r="E82" s="4">
        <f>B91</f>
        <v>0</v>
      </c>
      <c r="F82" s="4" t="str">
        <f>C79</f>
        <v>0</v>
      </c>
      <c r="G82" s="4" t="str">
        <f t="shared" ref="G82" si="9">D79</f>
        <v>0</v>
      </c>
      <c r="H82" s="4" t="str">
        <f t="shared" ref="H82" si="10">E79</f>
        <v>0</v>
      </c>
      <c r="I82" s="4">
        <f>B94</f>
        <v>0</v>
      </c>
      <c r="J82" s="4" t="str">
        <f>F79</f>
        <v>0</v>
      </c>
      <c r="K82" s="4" t="str">
        <f>G79</f>
        <v>0</v>
      </c>
      <c r="L82" s="4" t="str">
        <f t="shared" ref="L82" si="11">H79</f>
        <v>0</v>
      </c>
      <c r="M82" s="4" t="str">
        <f t="shared" ref="M82" si="12">I79</f>
        <v>0</v>
      </c>
    </row>
    <row r="83" spans="1:13" x14ac:dyDescent="0.25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 x14ac:dyDescent="0.25">
      <c r="A84" s="2"/>
      <c r="B84" s="4"/>
      <c r="C84" s="4">
        <v>3</v>
      </c>
      <c r="D84" s="4">
        <v>5</v>
      </c>
      <c r="E84" s="4">
        <v>7</v>
      </c>
      <c r="F84" s="4">
        <v>9</v>
      </c>
      <c r="G84" s="4">
        <v>11</v>
      </c>
      <c r="H84" s="4"/>
      <c r="I84" s="4"/>
      <c r="J84" s="4"/>
      <c r="K84" s="4"/>
      <c r="L84" s="4"/>
      <c r="M84" s="4"/>
    </row>
    <row r="85" spans="1:13" x14ac:dyDescent="0.25">
      <c r="A85" s="2" t="s">
        <v>4</v>
      </c>
      <c r="B85" s="4">
        <f>IF(ISEVEN(C85+D85+E85+F85+G85),0,1)</f>
        <v>0</v>
      </c>
      <c r="C85" s="4" t="str">
        <f>D82</f>
        <v>0</v>
      </c>
      <c r="D85" s="4" t="str">
        <f>F82</f>
        <v>0</v>
      </c>
      <c r="E85" s="4" t="str">
        <f>H82</f>
        <v>0</v>
      </c>
      <c r="F85" s="4" t="str">
        <f>J82</f>
        <v>0</v>
      </c>
      <c r="G85" s="4" t="str">
        <f>L82</f>
        <v>0</v>
      </c>
      <c r="H85" s="4"/>
      <c r="I85" s="4"/>
      <c r="J85" s="4"/>
      <c r="K85" s="4"/>
      <c r="L85" s="4"/>
      <c r="M85" s="4"/>
    </row>
    <row r="86" spans="1:13" x14ac:dyDescent="0.25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1:13" x14ac:dyDescent="0.25">
      <c r="A87" s="2"/>
      <c r="B87" s="4"/>
      <c r="C87" s="4">
        <v>3</v>
      </c>
      <c r="D87" s="4">
        <v>6</v>
      </c>
      <c r="E87" s="4">
        <v>7</v>
      </c>
      <c r="F87" s="4">
        <v>10</v>
      </c>
      <c r="G87" s="4">
        <v>11</v>
      </c>
      <c r="H87" s="4"/>
      <c r="I87" s="4"/>
      <c r="J87" s="4"/>
      <c r="K87" s="4"/>
      <c r="L87" s="4"/>
      <c r="M87" s="4"/>
    </row>
    <row r="88" spans="1:13" x14ac:dyDescent="0.25">
      <c r="A88" s="2" t="s">
        <v>5</v>
      </c>
      <c r="B88" s="4">
        <f t="shared" ref="B88" si="13">IF(ISEVEN(C88+D88+E88+F88+G88),0,1)</f>
        <v>0</v>
      </c>
      <c r="C88" s="4" t="str">
        <f>D82</f>
        <v>0</v>
      </c>
      <c r="D88" s="4" t="str">
        <f>G82</f>
        <v>0</v>
      </c>
      <c r="E88" s="4" t="str">
        <f>H82</f>
        <v>0</v>
      </c>
      <c r="F88" s="4" t="str">
        <f>K82</f>
        <v>0</v>
      </c>
      <c r="G88" s="4" t="str">
        <f>L82</f>
        <v>0</v>
      </c>
      <c r="H88" s="4"/>
      <c r="I88" s="4"/>
      <c r="J88" s="4"/>
      <c r="K88" s="4"/>
      <c r="L88" s="4"/>
      <c r="M88" s="4"/>
    </row>
    <row r="89" spans="1:13" x14ac:dyDescent="0.25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</row>
    <row r="90" spans="1:13" x14ac:dyDescent="0.25">
      <c r="A90" s="2"/>
      <c r="B90" s="4"/>
      <c r="C90" s="4">
        <v>5</v>
      </c>
      <c r="D90" s="4">
        <v>6</v>
      </c>
      <c r="E90" s="4">
        <v>7</v>
      </c>
      <c r="F90" s="4">
        <v>12</v>
      </c>
      <c r="G90" s="4"/>
      <c r="H90" s="4"/>
      <c r="I90" s="4"/>
      <c r="J90" s="4"/>
      <c r="K90" s="4"/>
      <c r="L90" s="4"/>
      <c r="M90" s="4"/>
    </row>
    <row r="91" spans="1:13" x14ac:dyDescent="0.25">
      <c r="A91" s="2" t="s">
        <v>6</v>
      </c>
      <c r="B91" s="4">
        <f>IF(ISEVEN(C91+D91+E91+F91),0,1)</f>
        <v>0</v>
      </c>
      <c r="C91" s="4" t="str">
        <f>F82</f>
        <v>0</v>
      </c>
      <c r="D91" s="4" t="str">
        <f>G82</f>
        <v>0</v>
      </c>
      <c r="E91" s="4" t="str">
        <f>H82</f>
        <v>0</v>
      </c>
      <c r="F91" s="4" t="str">
        <f>M82</f>
        <v>0</v>
      </c>
      <c r="G91" s="4"/>
      <c r="H91" s="4"/>
      <c r="I91" s="4"/>
      <c r="J91" s="4"/>
      <c r="K91" s="4"/>
      <c r="L91" s="4"/>
      <c r="M91" s="4"/>
    </row>
    <row r="92" spans="1:13" x14ac:dyDescent="0.25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</row>
    <row r="93" spans="1:13" x14ac:dyDescent="0.25">
      <c r="A93" s="2"/>
      <c r="B93" s="4"/>
      <c r="C93" s="4">
        <v>9</v>
      </c>
      <c r="D93" s="4">
        <v>10</v>
      </c>
      <c r="E93" s="4">
        <v>11</v>
      </c>
      <c r="F93" s="4">
        <v>12</v>
      </c>
      <c r="G93" s="4"/>
      <c r="H93" s="4"/>
      <c r="I93" s="4"/>
      <c r="J93" s="4"/>
      <c r="K93" s="4"/>
      <c r="L93" s="4"/>
      <c r="M93" s="4"/>
    </row>
    <row r="94" spans="1:13" x14ac:dyDescent="0.25">
      <c r="A94" s="2" t="s">
        <v>7</v>
      </c>
      <c r="B94" s="4">
        <f t="shared" ref="B94" si="14">IF(ISEVEN(C94+D94+E94+F94),0,1)</f>
        <v>0</v>
      </c>
      <c r="C94" s="4" t="str">
        <f>J82</f>
        <v>0</v>
      </c>
      <c r="D94" s="4" t="str">
        <f>K82</f>
        <v>0</v>
      </c>
      <c r="E94" s="4" t="str">
        <f>L82</f>
        <v>0</v>
      </c>
      <c r="F94" s="4" t="str">
        <f>M82</f>
        <v>0</v>
      </c>
      <c r="G94" s="4"/>
      <c r="H94" s="4"/>
      <c r="I94" s="4"/>
      <c r="J94" s="4"/>
      <c r="K94" s="4"/>
      <c r="L94" s="4"/>
      <c r="M94" s="4"/>
    </row>
    <row r="95" spans="1:13" x14ac:dyDescent="0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</row>
    <row r="96" spans="1:13" x14ac:dyDescent="0.25">
      <c r="A96" t="s">
        <v>22</v>
      </c>
      <c r="B96" s="4">
        <f>B82</f>
        <v>0</v>
      </c>
      <c r="C96" s="4">
        <f t="shared" ref="C96:M96" si="15">C82</f>
        <v>0</v>
      </c>
      <c r="D96" s="4" t="str">
        <f t="shared" si="15"/>
        <v>0</v>
      </c>
      <c r="E96" s="4">
        <f t="shared" si="15"/>
        <v>0</v>
      </c>
      <c r="F96" s="4" t="str">
        <f t="shared" si="15"/>
        <v>0</v>
      </c>
      <c r="G96" s="4" t="str">
        <f t="shared" si="15"/>
        <v>0</v>
      </c>
      <c r="H96" s="9">
        <f>IF(EXACT(H82,1),0,1)</f>
        <v>1</v>
      </c>
      <c r="I96" s="4">
        <f t="shared" si="15"/>
        <v>0</v>
      </c>
      <c r="J96" s="4" t="str">
        <f t="shared" si="15"/>
        <v>0</v>
      </c>
      <c r="K96" s="4" t="str">
        <f t="shared" si="15"/>
        <v>0</v>
      </c>
      <c r="L96" s="4" t="str">
        <f t="shared" si="15"/>
        <v>0</v>
      </c>
      <c r="M96" s="4" t="str">
        <f t="shared" si="15"/>
        <v>0</v>
      </c>
    </row>
    <row r="101" spans="1:13" x14ac:dyDescent="0.25">
      <c r="A101" t="s">
        <v>0</v>
      </c>
    </row>
    <row r="102" spans="1:13" x14ac:dyDescent="0.25">
      <c r="A102" t="s">
        <v>1</v>
      </c>
      <c r="B102" s="19" t="str">
        <f>TEXT(B76,"000000000000")</f>
        <v>000000000000</v>
      </c>
      <c r="C102" s="19"/>
    </row>
    <row r="103" spans="1:13" x14ac:dyDescent="0.25">
      <c r="A103" t="s">
        <v>11</v>
      </c>
      <c r="B103" s="18" t="str">
        <f>TEXT(CONCATENATE(D132,F132,G132,H132,J132,K132,L132,M132),"00000000")</f>
        <v>00000000</v>
      </c>
      <c r="C103" s="18"/>
    </row>
    <row r="105" spans="1:13" x14ac:dyDescent="0.25">
      <c r="B105" s="4">
        <v>1</v>
      </c>
      <c r="C105" s="4">
        <v>2</v>
      </c>
      <c r="D105" s="4">
        <v>3</v>
      </c>
      <c r="E105" s="4">
        <v>4</v>
      </c>
      <c r="F105" s="4">
        <v>5</v>
      </c>
      <c r="G105" s="4">
        <v>6</v>
      </c>
      <c r="H105" s="4">
        <v>7</v>
      </c>
      <c r="I105" s="4">
        <v>8</v>
      </c>
      <c r="J105" s="4">
        <v>9</v>
      </c>
      <c r="K105" s="4">
        <v>10</v>
      </c>
      <c r="L105" s="4">
        <v>11</v>
      </c>
      <c r="M105" s="4">
        <v>12</v>
      </c>
    </row>
    <row r="106" spans="1:13" x14ac:dyDescent="0.25">
      <c r="A106" t="s">
        <v>2</v>
      </c>
      <c r="B106" s="4" t="str">
        <f>MID($B$102,B105,1)</f>
        <v>0</v>
      </c>
      <c r="C106" s="4" t="str">
        <f t="shared" ref="C106:M106" si="16">MID($B$102,C105,1)</f>
        <v>0</v>
      </c>
      <c r="D106" s="4" t="str">
        <f t="shared" si="16"/>
        <v>0</v>
      </c>
      <c r="E106" s="4" t="str">
        <f t="shared" si="16"/>
        <v>0</v>
      </c>
      <c r="F106" s="4" t="str">
        <f t="shared" si="16"/>
        <v>0</v>
      </c>
      <c r="G106" s="4" t="str">
        <f t="shared" si="16"/>
        <v>0</v>
      </c>
      <c r="H106" s="4" t="str">
        <f t="shared" si="16"/>
        <v>0</v>
      </c>
      <c r="I106" s="4" t="str">
        <f t="shared" si="16"/>
        <v>0</v>
      </c>
      <c r="J106" s="4" t="str">
        <f t="shared" si="16"/>
        <v>0</v>
      </c>
      <c r="K106" s="4" t="str">
        <f t="shared" si="16"/>
        <v>0</v>
      </c>
      <c r="L106" s="4" t="str">
        <f t="shared" si="16"/>
        <v>0</v>
      </c>
      <c r="M106" s="4" t="str">
        <f t="shared" si="16"/>
        <v>0</v>
      </c>
    </row>
    <row r="107" spans="1:13" x14ac:dyDescent="0.2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3" x14ac:dyDescent="0.2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1:13" x14ac:dyDescent="0.25">
      <c r="B109" s="4">
        <v>1</v>
      </c>
      <c r="C109" s="4">
        <v>3</v>
      </c>
      <c r="D109" s="4">
        <v>5</v>
      </c>
      <c r="E109" s="4">
        <v>7</v>
      </c>
      <c r="F109" s="4">
        <v>9</v>
      </c>
      <c r="G109" s="4">
        <v>11</v>
      </c>
      <c r="H109" s="4"/>
      <c r="I109" s="4"/>
      <c r="J109" s="4"/>
      <c r="K109" s="4"/>
      <c r="L109" s="4"/>
      <c r="M109" s="4"/>
    </row>
    <row r="110" spans="1:13" x14ac:dyDescent="0.25">
      <c r="A110" t="s">
        <v>12</v>
      </c>
      <c r="B110" s="4" t="str">
        <f>B106</f>
        <v>0</v>
      </c>
      <c r="C110" s="4" t="str">
        <f>D106</f>
        <v>0</v>
      </c>
      <c r="D110" s="4" t="str">
        <f>F106</f>
        <v>0</v>
      </c>
      <c r="E110" s="4" t="str">
        <f>H106</f>
        <v>0</v>
      </c>
      <c r="F110" s="4" t="str">
        <f>J106</f>
        <v>0</v>
      </c>
      <c r="G110" s="4" t="str">
        <f>L106</f>
        <v>0</v>
      </c>
      <c r="H110" s="4"/>
      <c r="I110" s="4"/>
      <c r="J110" s="4"/>
      <c r="K110" s="4"/>
      <c r="L110" s="4"/>
      <c r="M110" s="4"/>
    </row>
    <row r="111" spans="1:13" x14ac:dyDescent="0.25">
      <c r="A111" t="s">
        <v>15</v>
      </c>
      <c r="B111" s="4">
        <f>IF(ISEVEN(C111+D111+E111+F111+G111),0,1)</f>
        <v>0</v>
      </c>
      <c r="C111" s="4">
        <f>D107</f>
        <v>0</v>
      </c>
      <c r="D111" s="4" t="str">
        <f>F106</f>
        <v>0</v>
      </c>
      <c r="E111" s="4" t="str">
        <f>H106</f>
        <v>0</v>
      </c>
      <c r="F111" s="4" t="str">
        <f>J106</f>
        <v>0</v>
      </c>
      <c r="G111" s="4" t="str">
        <f>L106</f>
        <v>0</v>
      </c>
      <c r="H111" s="4"/>
      <c r="I111" s="4"/>
      <c r="J111" s="4"/>
      <c r="K111" s="4"/>
      <c r="L111" s="4"/>
      <c r="M111" s="4"/>
    </row>
    <row r="112" spans="1:13" x14ac:dyDescent="0.25">
      <c r="A112" t="s">
        <v>14</v>
      </c>
      <c r="B112" s="4" t="b">
        <f>EXACT(B110,B111)</f>
        <v>1</v>
      </c>
      <c r="C112" s="4">
        <f>IF(B112=TRUE,0,B109)</f>
        <v>0</v>
      </c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1:13" x14ac:dyDescent="0.2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1:13" x14ac:dyDescent="0.25">
      <c r="B114" s="4">
        <v>2</v>
      </c>
      <c r="C114" s="4">
        <v>3</v>
      </c>
      <c r="D114" s="4">
        <v>6</v>
      </c>
      <c r="E114" s="4">
        <v>7</v>
      </c>
      <c r="F114" s="4">
        <v>10</v>
      </c>
      <c r="G114" s="4">
        <v>11</v>
      </c>
      <c r="H114" s="4"/>
      <c r="I114" s="4"/>
      <c r="J114" s="4"/>
      <c r="K114" s="4"/>
      <c r="L114" s="4"/>
      <c r="M114" s="4"/>
    </row>
    <row r="115" spans="1:13" x14ac:dyDescent="0.25">
      <c r="A115" t="s">
        <v>13</v>
      </c>
      <c r="B115" s="4" t="str">
        <f>C106</f>
        <v>0</v>
      </c>
      <c r="C115" s="4" t="str">
        <f>D106</f>
        <v>0</v>
      </c>
      <c r="D115" s="4" t="str">
        <f>G106</f>
        <v>0</v>
      </c>
      <c r="E115" s="4" t="str">
        <f>H106</f>
        <v>0</v>
      </c>
      <c r="F115" s="4" t="str">
        <f>K106</f>
        <v>0</v>
      </c>
      <c r="G115" s="4" t="str">
        <f>L106</f>
        <v>0</v>
      </c>
      <c r="H115" s="4"/>
      <c r="I115" s="4"/>
      <c r="J115" s="4"/>
      <c r="K115" s="4"/>
      <c r="L115" s="4"/>
      <c r="M115" s="4"/>
    </row>
    <row r="116" spans="1:13" x14ac:dyDescent="0.25">
      <c r="A116" t="s">
        <v>16</v>
      </c>
      <c r="B116" s="4">
        <f>IF(ISEVEN(C116+D116+E116+F116+G116),0,1)</f>
        <v>0</v>
      </c>
      <c r="C116" s="4" t="str">
        <f>D106</f>
        <v>0</v>
      </c>
      <c r="D116" s="4" t="str">
        <f>G106</f>
        <v>0</v>
      </c>
      <c r="E116" s="4" t="str">
        <f>H106</f>
        <v>0</v>
      </c>
      <c r="F116" s="4" t="str">
        <f>K106</f>
        <v>0</v>
      </c>
      <c r="G116" s="4" t="str">
        <f>L106</f>
        <v>0</v>
      </c>
      <c r="H116" s="4"/>
      <c r="I116" s="4"/>
      <c r="J116" s="4"/>
      <c r="K116" s="4"/>
      <c r="L116" s="4"/>
      <c r="M116" s="4"/>
    </row>
    <row r="117" spans="1:13" x14ac:dyDescent="0.25">
      <c r="A117" t="s">
        <v>14</v>
      </c>
      <c r="B117" s="4" t="b">
        <f>EXACT(B115,B116)</f>
        <v>1</v>
      </c>
      <c r="C117" s="4">
        <f>IF(B117=TRUE,0,B114)</f>
        <v>0</v>
      </c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1:13" x14ac:dyDescent="0.2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  <row r="119" spans="1:13" x14ac:dyDescent="0.25">
      <c r="B119" s="4">
        <v>4</v>
      </c>
      <c r="C119" s="4">
        <v>5</v>
      </c>
      <c r="D119" s="4">
        <v>6</v>
      </c>
      <c r="E119" s="4">
        <v>7</v>
      </c>
      <c r="F119" s="4">
        <v>12</v>
      </c>
      <c r="G119" s="4"/>
      <c r="H119" s="4"/>
      <c r="I119" s="4"/>
      <c r="J119" s="4"/>
      <c r="K119" s="4"/>
      <c r="L119" s="4"/>
      <c r="M119" s="4"/>
    </row>
    <row r="120" spans="1:13" x14ac:dyDescent="0.25">
      <c r="A120" t="s">
        <v>19</v>
      </c>
      <c r="B120" s="4" t="str">
        <f>E106</f>
        <v>0</v>
      </c>
      <c r="C120" s="4" t="str">
        <f>F106</f>
        <v>0</v>
      </c>
      <c r="D120" s="4" t="str">
        <f>G106</f>
        <v>0</v>
      </c>
      <c r="E120" s="4" t="str">
        <f>H106</f>
        <v>0</v>
      </c>
      <c r="F120" s="4" t="str">
        <f>M106</f>
        <v>0</v>
      </c>
      <c r="G120" s="4"/>
      <c r="H120" s="4"/>
      <c r="I120" s="4"/>
      <c r="J120" s="4"/>
      <c r="K120" s="4"/>
      <c r="L120" s="4"/>
      <c r="M120" s="4"/>
    </row>
    <row r="121" spans="1:13" x14ac:dyDescent="0.25">
      <c r="A121" t="s">
        <v>17</v>
      </c>
      <c r="B121" s="4">
        <f>IF(ISEVEN(C121+D121+E121+F121+G121),0,1)</f>
        <v>0</v>
      </c>
      <c r="C121" s="4" t="str">
        <f>F106</f>
        <v>0</v>
      </c>
      <c r="D121" s="4" t="str">
        <f>G106</f>
        <v>0</v>
      </c>
      <c r="E121" s="4" t="str">
        <f>H106</f>
        <v>0</v>
      </c>
      <c r="F121" s="4" t="str">
        <f>M106</f>
        <v>0</v>
      </c>
      <c r="G121" s="4"/>
      <c r="H121" s="4"/>
      <c r="I121" s="4"/>
      <c r="J121" s="4"/>
      <c r="K121" s="4"/>
      <c r="L121" s="4"/>
      <c r="M121" s="4"/>
    </row>
    <row r="122" spans="1:13" x14ac:dyDescent="0.25">
      <c r="A122" t="s">
        <v>14</v>
      </c>
      <c r="B122" s="4" t="b">
        <f>EXACT(B120,B121)</f>
        <v>1</v>
      </c>
      <c r="C122" s="4">
        <f>IF(B122=TRUE,0,B119)</f>
        <v>0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</row>
    <row r="123" spans="1:13" x14ac:dyDescent="0.2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</row>
    <row r="124" spans="1:13" x14ac:dyDescent="0.25">
      <c r="B124" s="4">
        <v>8</v>
      </c>
      <c r="C124" s="4">
        <v>9</v>
      </c>
      <c r="D124" s="4">
        <v>10</v>
      </c>
      <c r="E124" s="4">
        <v>11</v>
      </c>
      <c r="F124" s="4">
        <v>12</v>
      </c>
      <c r="G124" s="4"/>
      <c r="H124" s="4"/>
      <c r="I124" s="4"/>
      <c r="J124" s="4"/>
      <c r="K124" s="4"/>
      <c r="L124" s="4"/>
      <c r="M124" s="4"/>
    </row>
    <row r="125" spans="1:13" x14ac:dyDescent="0.25">
      <c r="A125" t="s">
        <v>18</v>
      </c>
      <c r="B125" s="4" t="str">
        <f>I106</f>
        <v>0</v>
      </c>
      <c r="C125" s="4" t="str">
        <f>J106</f>
        <v>0</v>
      </c>
      <c r="D125" s="4" t="str">
        <f>K106</f>
        <v>0</v>
      </c>
      <c r="E125" s="4" t="str">
        <f>L106</f>
        <v>0</v>
      </c>
      <c r="F125" s="4" t="str">
        <f>M106</f>
        <v>0</v>
      </c>
      <c r="G125" s="4"/>
      <c r="H125" s="4"/>
      <c r="I125" s="4"/>
      <c r="J125" s="4"/>
      <c r="K125" s="4"/>
      <c r="L125" s="4"/>
      <c r="M125" s="4"/>
    </row>
    <row r="126" spans="1:13" x14ac:dyDescent="0.25">
      <c r="A126" t="s">
        <v>18</v>
      </c>
      <c r="B126" s="4">
        <f>IF(ISEVEN(C126+D126+E126+F126+G126),0,1)</f>
        <v>0</v>
      </c>
      <c r="C126" s="4" t="str">
        <f>J106</f>
        <v>0</v>
      </c>
      <c r="D126" s="4" t="str">
        <f>K106</f>
        <v>0</v>
      </c>
      <c r="E126" s="4" t="str">
        <f>L106</f>
        <v>0</v>
      </c>
      <c r="F126" s="4" t="str">
        <f>M106</f>
        <v>0</v>
      </c>
      <c r="G126" s="4"/>
      <c r="H126" s="4"/>
      <c r="I126" s="4"/>
      <c r="J126" s="4"/>
      <c r="K126" s="4"/>
      <c r="L126" s="4"/>
      <c r="M126" s="4"/>
    </row>
    <row r="127" spans="1:13" x14ac:dyDescent="0.25">
      <c r="A127" t="s">
        <v>14</v>
      </c>
      <c r="B127" s="4" t="b">
        <f>EXACT(B125,B126)</f>
        <v>1</v>
      </c>
      <c r="C127" s="4">
        <f>IF(B127=TRUE,0,B124)</f>
        <v>0</v>
      </c>
    </row>
    <row r="129" spans="1:13" x14ac:dyDescent="0.25">
      <c r="A129" t="s">
        <v>20</v>
      </c>
      <c r="B129">
        <f>SUM(C112+C117+C122+C127)</f>
        <v>0</v>
      </c>
    </row>
    <row r="131" spans="1:13" x14ac:dyDescent="0.25">
      <c r="B131" s="4">
        <v>1</v>
      </c>
      <c r="C131" s="4">
        <v>2</v>
      </c>
      <c r="D131" s="4">
        <v>3</v>
      </c>
      <c r="E131" s="4">
        <v>4</v>
      </c>
      <c r="F131" s="4">
        <v>5</v>
      </c>
      <c r="G131" s="4">
        <v>6</v>
      </c>
      <c r="H131" s="4">
        <v>7</v>
      </c>
      <c r="I131" s="4">
        <v>8</v>
      </c>
      <c r="J131" s="4">
        <v>9</v>
      </c>
      <c r="K131" s="4">
        <v>10</v>
      </c>
      <c r="L131" s="4">
        <v>11</v>
      </c>
      <c r="M131" s="4">
        <v>12</v>
      </c>
    </row>
    <row r="132" spans="1:13" x14ac:dyDescent="0.25">
      <c r="A132" t="s">
        <v>2</v>
      </c>
      <c r="B132" s="4" t="str">
        <f>IF(EXACT($B$129,B131),IF(EXACT(B106,0),1,0),B106)</f>
        <v>0</v>
      </c>
      <c r="C132" s="11" t="str">
        <f t="shared" ref="C132:M132" si="17">IF(EXACT($B$129,C131),IF(EXACT(C106,0),1,0),C106)</f>
        <v>0</v>
      </c>
      <c r="D132" s="11" t="str">
        <f t="shared" si="17"/>
        <v>0</v>
      </c>
      <c r="E132" s="11" t="str">
        <f t="shared" si="17"/>
        <v>0</v>
      </c>
      <c r="F132" s="11" t="str">
        <f t="shared" si="17"/>
        <v>0</v>
      </c>
      <c r="G132" s="11" t="str">
        <f t="shared" si="17"/>
        <v>0</v>
      </c>
      <c r="H132" s="11" t="str">
        <f t="shared" si="17"/>
        <v>0</v>
      </c>
      <c r="I132" s="11" t="str">
        <f t="shared" si="17"/>
        <v>0</v>
      </c>
      <c r="J132" s="11" t="str">
        <f t="shared" si="17"/>
        <v>0</v>
      </c>
      <c r="K132" s="11" t="str">
        <f t="shared" si="17"/>
        <v>0</v>
      </c>
      <c r="L132" s="11" t="str">
        <f t="shared" si="17"/>
        <v>0</v>
      </c>
      <c r="M132" s="11" t="str">
        <f t="shared" si="17"/>
        <v>0</v>
      </c>
    </row>
    <row r="138" spans="1:13" x14ac:dyDescent="0.25">
      <c r="A138" t="s">
        <v>22</v>
      </c>
      <c r="B138" t="str">
        <f>'Interfaccia-utente'!Q11</f>
        <v xml:space="preserve"> </v>
      </c>
    </row>
  </sheetData>
  <mergeCells count="6">
    <mergeCell ref="B103:C103"/>
    <mergeCell ref="B4:C4"/>
    <mergeCell ref="B30:C30"/>
    <mergeCell ref="B76:C76"/>
    <mergeCell ref="B102:C102"/>
    <mergeCell ref="B31:C3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Interfaccia-utente</vt:lpstr>
      <vt:lpstr>Intefaccia-macchina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Masone</dc:creator>
  <cp:lastModifiedBy>Alessandro Masone</cp:lastModifiedBy>
  <dcterms:created xsi:type="dcterms:W3CDTF">2015-06-05T18:19:34Z</dcterms:created>
  <dcterms:modified xsi:type="dcterms:W3CDTF">2021-01-30T10:23:11Z</dcterms:modified>
</cp:coreProperties>
</file>