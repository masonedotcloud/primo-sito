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mason\Desktop\Argomenti\5\"/>
    </mc:Choice>
  </mc:AlternateContent>
  <xr:revisionPtr revIDLastSave="0" documentId="13_ncr:1_{C0042F32-DB78-4034-9684-102BDD3D9188}" xr6:coauthVersionLast="47" xr6:coauthVersionMax="47" xr10:uidLastSave="{00000000-0000-0000-0000-000000000000}"/>
  <bookViews>
    <workbookView xWindow="-34020" yWindow="3090" windowWidth="28800" windowHeight="15555" xr2:uid="{00000000-000D-0000-FFFF-FFFF00000000}"/>
  </bookViews>
  <sheets>
    <sheet name="Interfaccia-utente" sheetId="1" r:id="rId1"/>
    <sheet name="Interfaccia-macchina" sheetId="2" r:id="rId2"/>
    <sheet name="Singola-cifra" sheetId="3" r:id="rId3"/>
    <sheet name="Addizione" sheetId="7" r:id="rId4"/>
    <sheet name="Sottrazione" sheetId="8" r:id="rId5"/>
    <sheet name="Moltiplicazione" sheetId="9" r:id="rId6"/>
    <sheet name="Conversione-valore-1" sheetId="4" r:id="rId7"/>
    <sheet name="Conversione-valore-2" sheetId="5" r:id="rId8"/>
    <sheet name="Coversione-risualtato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B2" i="2" s="1"/>
  <c r="B1" i="4" l="1"/>
  <c r="B3" i="2"/>
  <c r="B18" i="2" s="1"/>
  <c r="B4" i="2"/>
  <c r="B1" i="5" l="1"/>
  <c r="E2" i="5" s="1"/>
  <c r="E3" i="5" s="1"/>
  <c r="G2" i="5" s="1"/>
  <c r="E4" i="5" l="1"/>
  <c r="E5" i="5" l="1"/>
  <c r="G3" i="5"/>
  <c r="E6" i="5" l="1"/>
  <c r="G4" i="5"/>
  <c r="E7" i="5" l="1"/>
  <c r="G5" i="5"/>
  <c r="E8" i="5" l="1"/>
  <c r="G7" i="5" s="1"/>
  <c r="G6" i="5"/>
  <c r="E9" i="5" l="1"/>
  <c r="E10" i="5" l="1"/>
  <c r="G9" i="5" s="1"/>
  <c r="G8" i="5"/>
  <c r="E11" i="5" l="1"/>
  <c r="E12" i="5" l="1"/>
  <c r="G11" i="5" s="1"/>
  <c r="G10" i="5"/>
  <c r="E13" i="5" l="1"/>
  <c r="E14" i="5" l="1"/>
  <c r="G12" i="5"/>
  <c r="E15" i="5" l="1"/>
  <c r="G13" i="5"/>
  <c r="E16" i="5" l="1"/>
  <c r="G15" i="5" s="1"/>
  <c r="G14" i="5"/>
  <c r="E17" i="5" l="1"/>
  <c r="E18" i="5" l="1"/>
  <c r="G16" i="5"/>
  <c r="E19" i="5" l="1"/>
  <c r="G17" i="5"/>
  <c r="E20" i="5" l="1"/>
  <c r="G18" i="5"/>
  <c r="E21" i="5" l="1"/>
  <c r="G19" i="5"/>
  <c r="E22" i="5" l="1"/>
  <c r="G21" i="5" s="1"/>
  <c r="G20" i="5"/>
  <c r="E23" i="5" l="1"/>
  <c r="G22" i="5" s="1"/>
  <c r="E24" i="5" l="1"/>
  <c r="E25" i="5" l="1"/>
  <c r="G23" i="5"/>
  <c r="E26" i="5" l="1"/>
  <c r="G24" i="5"/>
  <c r="E27" i="5" l="1"/>
  <c r="G25" i="5"/>
  <c r="E28" i="5" l="1"/>
  <c r="G27" i="5" s="1"/>
  <c r="G26" i="5"/>
  <c r="E29" i="5" l="1"/>
  <c r="G28" i="5" s="1"/>
  <c r="E30" i="5" l="1"/>
  <c r="E31" i="5" l="1"/>
  <c r="G30" i="5" s="1"/>
  <c r="G29" i="5"/>
  <c r="E32" i="5" l="1"/>
  <c r="G31" i="5" s="1"/>
  <c r="E33" i="5" l="1"/>
  <c r="G33" i="5" s="1"/>
  <c r="G32" i="5" l="1"/>
  <c r="B3" i="5" s="1"/>
  <c r="B2" i="3" l="1"/>
  <c r="B7" i="2"/>
  <c r="AG3" i="3" l="1"/>
  <c r="AN3" i="9" s="1"/>
  <c r="O3" i="3"/>
  <c r="AF3" i="3"/>
  <c r="AM3" i="9" s="1"/>
  <c r="AK3" i="3"/>
  <c r="AR3" i="9" s="1"/>
  <c r="AB3" i="3"/>
  <c r="AI3" i="9" s="1"/>
  <c r="AH3" i="3"/>
  <c r="AO3" i="9" s="1"/>
  <c r="M3" i="3"/>
  <c r="K3" i="3"/>
  <c r="AL3" i="3"/>
  <c r="AS3" i="9" s="1"/>
  <c r="AM3" i="3"/>
  <c r="AT3" i="9" s="1"/>
  <c r="AE3" i="3"/>
  <c r="AL3" i="9" s="1"/>
  <c r="AJ3" i="3"/>
  <c r="AQ3" i="9" s="1"/>
  <c r="Y3" i="3"/>
  <c r="S3" i="3"/>
  <c r="J3" i="3"/>
  <c r="AI3" i="3"/>
  <c r="AP3" i="9" s="1"/>
  <c r="R3" i="3"/>
  <c r="X3" i="3"/>
  <c r="AD3" i="3"/>
  <c r="AK3" i="9" s="1"/>
  <c r="Z3" i="3"/>
  <c r="AG3" i="9" s="1"/>
  <c r="V3" i="3"/>
  <c r="AA3" i="3"/>
  <c r="AH3" i="9" s="1"/>
  <c r="N3" i="3"/>
  <c r="AO3" i="3"/>
  <c r="AV3" i="9" s="1"/>
  <c r="U3" i="3"/>
  <c r="T3" i="3"/>
  <c r="P3" i="3"/>
  <c r="Q3" i="3"/>
  <c r="AN3" i="3"/>
  <c r="AU3" i="9" s="1"/>
  <c r="L3" i="3"/>
  <c r="AC3" i="3"/>
  <c r="AJ3" i="9" s="1"/>
  <c r="W3" i="3"/>
  <c r="X6" i="9" l="1"/>
  <c r="Q6" i="9"/>
  <c r="AE6" i="9"/>
  <c r="AA6" i="9"/>
  <c r="V6" i="9"/>
  <c r="R6" i="9"/>
  <c r="AF6" i="9"/>
  <c r="U6" i="9"/>
  <c r="AD6" i="9"/>
  <c r="Y6" i="9"/>
  <c r="Z6" i="9"/>
  <c r="W6" i="9"/>
  <c r="T6" i="9"/>
  <c r="AB6" i="9"/>
  <c r="S6" i="9"/>
  <c r="AC6" i="9"/>
  <c r="S35" i="9"/>
  <c r="X35" i="9"/>
  <c r="Z35" i="9"/>
  <c r="Q35" i="9"/>
  <c r="R35" i="9"/>
  <c r="T35" i="9"/>
  <c r="V35" i="9"/>
  <c r="U35" i="9"/>
  <c r="W35" i="9"/>
  <c r="AA35" i="9"/>
  <c r="Y35" i="9"/>
  <c r="R49" i="9"/>
  <c r="V49" i="9"/>
  <c r="T49" i="9"/>
  <c r="S49" i="9"/>
  <c r="X49" i="9"/>
  <c r="Y49" i="9"/>
  <c r="Q49" i="9"/>
  <c r="W49" i="9"/>
  <c r="U49" i="9"/>
  <c r="U70" i="9"/>
  <c r="Q70" i="9"/>
  <c r="R70" i="9"/>
  <c r="S70" i="9"/>
  <c r="T70" i="9"/>
  <c r="V70" i="9"/>
  <c r="U42" i="9"/>
  <c r="V42" i="9"/>
  <c r="X42" i="9"/>
  <c r="S42" i="9"/>
  <c r="Q42" i="9"/>
  <c r="R42" i="9"/>
  <c r="Y42" i="9"/>
  <c r="W42" i="9"/>
  <c r="Z42" i="9"/>
  <c r="T42" i="9"/>
  <c r="Q28" i="9"/>
  <c r="Z28" i="9"/>
  <c r="X28" i="9"/>
  <c r="S28" i="9"/>
  <c r="W28" i="9"/>
  <c r="T28" i="9"/>
  <c r="V28" i="9"/>
  <c r="U28" i="9"/>
  <c r="Y28" i="9"/>
  <c r="R28" i="9"/>
  <c r="AA28" i="9"/>
  <c r="AB28" i="9"/>
  <c r="V63" i="9"/>
  <c r="R63" i="9"/>
  <c r="S63" i="9"/>
  <c r="T63" i="9"/>
  <c r="W63" i="9"/>
  <c r="U63" i="9"/>
  <c r="Q63" i="9"/>
  <c r="Q105" i="9"/>
  <c r="AE7" i="9"/>
  <c r="AD7" i="9"/>
  <c r="AA7" i="9"/>
  <c r="S7" i="9"/>
  <c r="Q7" i="9"/>
  <c r="Y7" i="9"/>
  <c r="X7" i="9"/>
  <c r="W7" i="9"/>
  <c r="V7" i="9"/>
  <c r="T7" i="9"/>
  <c r="Z7" i="9"/>
  <c r="R7" i="9"/>
  <c r="AB7" i="9"/>
  <c r="AC7" i="9"/>
  <c r="U7" i="9"/>
  <c r="R91" i="9"/>
  <c r="S91" i="9"/>
  <c r="Q91" i="9"/>
  <c r="Q98" i="9"/>
  <c r="R98" i="9"/>
  <c r="Z14" i="9"/>
  <c r="Y14" i="9"/>
  <c r="V14" i="9"/>
  <c r="S14" i="9"/>
  <c r="AD14" i="9"/>
  <c r="R14" i="9"/>
  <c r="AC14" i="9"/>
  <c r="T14" i="9"/>
  <c r="X14" i="9"/>
  <c r="W14" i="9"/>
  <c r="AA14" i="9"/>
  <c r="AB14" i="9"/>
  <c r="U14" i="9"/>
  <c r="Q14" i="9"/>
  <c r="W21" i="9"/>
  <c r="T21" i="9"/>
  <c r="S21" i="9"/>
  <c r="AA21" i="9"/>
  <c r="Q21" i="9"/>
  <c r="AB21" i="9"/>
  <c r="R21" i="9"/>
  <c r="Z21" i="9"/>
  <c r="X21" i="9"/>
  <c r="Y21" i="9"/>
  <c r="AC21" i="9"/>
  <c r="U21" i="9"/>
  <c r="V21" i="9"/>
  <c r="R84" i="9"/>
  <c r="Q84" i="9"/>
  <c r="T84" i="9"/>
  <c r="S84" i="9"/>
  <c r="R77" i="9"/>
  <c r="Q77" i="9"/>
  <c r="T77" i="9"/>
  <c r="S77" i="9"/>
  <c r="U77" i="9"/>
  <c r="X56" i="9"/>
  <c r="U56" i="9"/>
  <c r="R56" i="9"/>
  <c r="T56" i="9"/>
  <c r="S56" i="9"/>
  <c r="W56" i="9"/>
  <c r="V56" i="9"/>
  <c r="Q56" i="9"/>
  <c r="AF4" i="7"/>
  <c r="AF3" i="8"/>
  <c r="AH3" i="8"/>
  <c r="AH4" i="7"/>
  <c r="L3" i="8"/>
  <c r="L4" i="7"/>
  <c r="AI4" i="7"/>
  <c r="AI3" i="8"/>
  <c r="V3" i="8"/>
  <c r="V4" i="7"/>
  <c r="AL3" i="8"/>
  <c r="AL4" i="7"/>
  <c r="Z4" i="7"/>
  <c r="Z3" i="8"/>
  <c r="Y3" i="8"/>
  <c r="Y4" i="7"/>
  <c r="T3" i="8"/>
  <c r="T4" i="7"/>
  <c r="AD4" i="7"/>
  <c r="AD3" i="8"/>
  <c r="J4" i="7"/>
  <c r="J3" i="8"/>
  <c r="AC4" i="7"/>
  <c r="AC3" i="8"/>
  <c r="AG4" i="7"/>
  <c r="AG3" i="8"/>
  <c r="N4" i="7"/>
  <c r="N3" i="8"/>
  <c r="AJ4" i="7"/>
  <c r="AJ3" i="8"/>
  <c r="R4" i="7"/>
  <c r="R3" i="8"/>
  <c r="X4" i="7"/>
  <c r="X3" i="8"/>
  <c r="I4" i="7"/>
  <c r="I3" i="8"/>
  <c r="M4" i="7"/>
  <c r="M3" i="8"/>
  <c r="AM3" i="8"/>
  <c r="AM4" i="7"/>
  <c r="P3" i="8"/>
  <c r="P4" i="7"/>
  <c r="O4" i="7"/>
  <c r="O3" i="8"/>
  <c r="AK4" i="7"/>
  <c r="AK3" i="8"/>
  <c r="H3" i="8"/>
  <c r="H4" i="7"/>
  <c r="U4" i="7"/>
  <c r="U3" i="8"/>
  <c r="Q3" i="8"/>
  <c r="Q4" i="7"/>
  <c r="AA4" i="7"/>
  <c r="AA3" i="8"/>
  <c r="S4" i="7"/>
  <c r="S3" i="8"/>
  <c r="AB3" i="8"/>
  <c r="AB4" i="7"/>
  <c r="W4" i="7"/>
  <c r="W3" i="8"/>
  <c r="K3" i="8"/>
  <c r="K4" i="7"/>
  <c r="AE3" i="8"/>
  <c r="AE4" i="7"/>
  <c r="AL2" i="8" l="1"/>
  <c r="AM5" i="8"/>
  <c r="AM11" i="8" s="1"/>
  <c r="AK2" i="8" l="1"/>
  <c r="AL5" i="8"/>
  <c r="AL11" i="8" s="1"/>
  <c r="AJ2" i="8" l="1"/>
  <c r="AK5" i="8"/>
  <c r="AK11" i="8" s="1"/>
  <c r="AI2" i="8" l="1"/>
  <c r="AJ5" i="8"/>
  <c r="AJ11" i="8" s="1"/>
  <c r="AI5" i="8" l="1"/>
  <c r="AI11" i="8" s="1"/>
  <c r="AH2" i="8"/>
  <c r="AG2" i="8" l="1"/>
  <c r="AH5" i="8"/>
  <c r="AH11" i="8" s="1"/>
  <c r="AG5" i="8" l="1"/>
  <c r="AG11" i="8" s="1"/>
  <c r="AF2" i="8"/>
  <c r="AF5" i="8" l="1"/>
  <c r="AF11" i="8" s="1"/>
  <c r="AE2" i="8"/>
  <c r="AD2" i="8" l="1"/>
  <c r="AE5" i="8"/>
  <c r="AE11" i="8" s="1"/>
  <c r="AC2" i="8" l="1"/>
  <c r="AD5" i="8"/>
  <c r="AD11" i="8" s="1"/>
  <c r="AC5" i="8" l="1"/>
  <c r="AC11" i="8" s="1"/>
  <c r="AB2" i="8"/>
  <c r="AB5" i="8" l="1"/>
  <c r="AB11" i="8" s="1"/>
  <c r="AA2" i="8"/>
  <c r="Z2" i="8" l="1"/>
  <c r="AA5" i="8"/>
  <c r="AA11" i="8" s="1"/>
  <c r="Z5" i="8" l="1"/>
  <c r="Z11" i="8" s="1"/>
  <c r="Y2" i="8"/>
  <c r="X2" i="8" l="1"/>
  <c r="Y5" i="8"/>
  <c r="Y11" i="8" s="1"/>
  <c r="W2" i="8" l="1"/>
  <c r="X5" i="8"/>
  <c r="X11" i="8" s="1"/>
  <c r="V2" i="8" l="1"/>
  <c r="W5" i="8"/>
  <c r="W11" i="8" s="1"/>
  <c r="V5" i="8" l="1"/>
  <c r="V11" i="8" s="1"/>
  <c r="U2" i="8"/>
  <c r="T2" i="8" l="1"/>
  <c r="U5" i="8"/>
  <c r="U11" i="8" s="1"/>
  <c r="T5" i="8" l="1"/>
  <c r="T11" i="8" s="1"/>
  <c r="S2" i="8"/>
  <c r="R2" i="8" l="1"/>
  <c r="S5" i="8"/>
  <c r="S11" i="8" s="1"/>
  <c r="R5" i="8" l="1"/>
  <c r="R11" i="8" s="1"/>
  <c r="Q2" i="8"/>
  <c r="P2" i="8" l="1"/>
  <c r="Q5" i="8"/>
  <c r="Q11" i="8" s="1"/>
  <c r="O2" i="8" l="1"/>
  <c r="P5" i="8"/>
  <c r="P11" i="8" s="1"/>
  <c r="O5" i="8" l="1"/>
  <c r="O11" i="8" s="1"/>
  <c r="N2" i="8"/>
  <c r="N5" i="8" l="1"/>
  <c r="N11" i="8" s="1"/>
  <c r="M2" i="8"/>
  <c r="M5" i="8" l="1"/>
  <c r="M11" i="8" s="1"/>
  <c r="L2" i="8"/>
  <c r="L5" i="8" l="1"/>
  <c r="L11" i="8" s="1"/>
  <c r="K2" i="8"/>
  <c r="J2" i="8" l="1"/>
  <c r="K5" i="8"/>
  <c r="K11" i="8" s="1"/>
  <c r="I2" i="8" l="1"/>
  <c r="J5" i="8"/>
  <c r="J11" i="8" s="1"/>
  <c r="H2" i="8" l="1"/>
  <c r="I5" i="8"/>
  <c r="I11" i="8" s="1"/>
  <c r="H5" i="8" l="1"/>
  <c r="H11" i="8" s="1"/>
  <c r="G2" i="8"/>
  <c r="E2" i="4"/>
  <c r="E3" i="4" s="1"/>
  <c r="E4" i="4" s="1"/>
  <c r="E5" i="4" l="1"/>
  <c r="G3" i="4"/>
  <c r="G2" i="4"/>
  <c r="E6" i="4" l="1"/>
  <c r="G5" i="4" s="1"/>
  <c r="G4" i="4"/>
  <c r="E7" i="4" l="1"/>
  <c r="E8" i="4" l="1"/>
  <c r="G6" i="4"/>
  <c r="E9" i="4" l="1"/>
  <c r="G8" i="4" s="1"/>
  <c r="G7" i="4"/>
  <c r="E10" i="4" l="1"/>
  <c r="E11" i="4" l="1"/>
  <c r="G10" i="4" s="1"/>
  <c r="G9" i="4"/>
  <c r="E12" i="4" l="1"/>
  <c r="G11" i="4" s="1"/>
  <c r="E13" i="4" l="1"/>
  <c r="G12" i="4" s="1"/>
  <c r="E14" i="4" l="1"/>
  <c r="G13" i="4" s="1"/>
  <c r="E15" i="4" l="1"/>
  <c r="E16" i="4" l="1"/>
  <c r="G14" i="4"/>
  <c r="E17" i="4" l="1"/>
  <c r="G16" i="4" s="1"/>
  <c r="G15" i="4"/>
  <c r="E18" i="4" l="1"/>
  <c r="B19" i="2" s="1"/>
  <c r="E19" i="4" l="1"/>
  <c r="G18" i="4" s="1"/>
  <c r="G17" i="4"/>
  <c r="E20" i="4" l="1"/>
  <c r="E21" i="4" l="1"/>
  <c r="G19" i="4"/>
  <c r="E22" i="4" l="1"/>
  <c r="G20" i="4"/>
  <c r="E23" i="4" l="1"/>
  <c r="G21" i="4"/>
  <c r="E24" i="4" l="1"/>
  <c r="G23" i="4" s="1"/>
  <c r="G22" i="4"/>
  <c r="E25" i="4" l="1"/>
  <c r="E26" i="4" l="1"/>
  <c r="G24" i="4"/>
  <c r="E27" i="4" l="1"/>
  <c r="G25" i="4"/>
  <c r="E28" i="4" l="1"/>
  <c r="G27" i="4" s="1"/>
  <c r="G26" i="4"/>
  <c r="E29" i="4" l="1"/>
  <c r="E30" i="4" l="1"/>
  <c r="G29" i="4" s="1"/>
  <c r="G28" i="4"/>
  <c r="E31" i="4" l="1"/>
  <c r="E32" i="4" l="1"/>
  <c r="G30" i="4"/>
  <c r="E33" i="4" l="1"/>
  <c r="G33" i="4" s="1"/>
  <c r="G31" i="4"/>
  <c r="G32" i="4" l="1"/>
  <c r="B3" i="4" s="1"/>
  <c r="B1" i="3" l="1"/>
  <c r="B6" i="2"/>
  <c r="O2" i="3" l="1"/>
  <c r="K2" i="3"/>
  <c r="AE2" i="3"/>
  <c r="AL2" i="9" s="1"/>
  <c r="U2" i="3"/>
  <c r="R2" i="3"/>
  <c r="AF2" i="3"/>
  <c r="AM2" i="9" s="1"/>
  <c r="AA2" i="3"/>
  <c r="AH2" i="9" s="1"/>
  <c r="AK2" i="3"/>
  <c r="AR2" i="9" s="1"/>
  <c r="X2" i="3"/>
  <c r="AO2" i="3"/>
  <c r="AV2" i="9" s="1"/>
  <c r="W2" i="3"/>
  <c r="AB2" i="3"/>
  <c r="AI2" i="9" s="1"/>
  <c r="AD2" i="3"/>
  <c r="AK2" i="9" s="1"/>
  <c r="AI2" i="3"/>
  <c r="AP2" i="9" s="1"/>
  <c r="V2" i="3"/>
  <c r="AL2" i="3"/>
  <c r="AS2" i="9" s="1"/>
  <c r="T2" i="3"/>
  <c r="Q2" i="3"/>
  <c r="J2" i="3"/>
  <c r="AH2" i="3"/>
  <c r="AO2" i="9" s="1"/>
  <c r="N2" i="3"/>
  <c r="Z2" i="3"/>
  <c r="AG2" i="9" s="1"/>
  <c r="AN2" i="3"/>
  <c r="AU2" i="9" s="1"/>
  <c r="Y2" i="3"/>
  <c r="AJ2" i="3"/>
  <c r="AQ2" i="9" s="1"/>
  <c r="AG2" i="3"/>
  <c r="AN2" i="9" s="1"/>
  <c r="P2" i="3"/>
  <c r="AM2" i="3"/>
  <c r="AT2" i="9" s="1"/>
  <c r="AC2" i="3"/>
  <c r="AJ2" i="9" s="1"/>
  <c r="M2" i="3"/>
  <c r="L2" i="3"/>
  <c r="S2" i="3"/>
  <c r="AE28" i="9" l="1"/>
  <c r="Z63" i="9"/>
  <c r="AH7" i="9"/>
  <c r="V91" i="9"/>
  <c r="U98" i="9"/>
  <c r="AI6" i="9"/>
  <c r="W84" i="9"/>
  <c r="AA56" i="9"/>
  <c r="Y70" i="9"/>
  <c r="AC42" i="9"/>
  <c r="AB49" i="9"/>
  <c r="T105" i="9"/>
  <c r="AG14" i="9"/>
  <c r="AF21" i="9"/>
  <c r="X77" i="9"/>
  <c r="AD35" i="9"/>
  <c r="AM6" i="9"/>
  <c r="AL7" i="9"/>
  <c r="AF49" i="9"/>
  <c r="AI28" i="9"/>
  <c r="AK14" i="9"/>
  <c r="AB77" i="9"/>
  <c r="AG42" i="9"/>
  <c r="AC70" i="9"/>
  <c r="AD63" i="9"/>
  <c r="Z91" i="9"/>
  <c r="Y98" i="9"/>
  <c r="X105" i="9"/>
  <c r="AH35" i="9"/>
  <c r="AA84" i="9"/>
  <c r="AE56" i="9"/>
  <c r="AJ21" i="9"/>
  <c r="AA63" i="9"/>
  <c r="V98" i="9"/>
  <c r="Z70" i="9"/>
  <c r="AF28" i="9"/>
  <c r="U105" i="9"/>
  <c r="Y77" i="9"/>
  <c r="AB56" i="9"/>
  <c r="AJ6" i="9"/>
  <c r="W91" i="9"/>
  <c r="AE35" i="9"/>
  <c r="AH14" i="9"/>
  <c r="AG21" i="9"/>
  <c r="AI7" i="9"/>
  <c r="AC49" i="9"/>
  <c r="X84" i="9"/>
  <c r="AD42" i="9"/>
  <c r="AO35" i="9"/>
  <c r="AM49" i="9"/>
  <c r="AI77" i="9"/>
  <c r="AR14" i="9"/>
  <c r="AN42" i="9"/>
  <c r="AE105" i="9"/>
  <c r="AS7" i="9"/>
  <c r="AQ21" i="9"/>
  <c r="AT6" i="9"/>
  <c r="AJ70" i="9"/>
  <c r="AP28" i="9"/>
  <c r="AK63" i="9"/>
  <c r="AH84" i="9"/>
  <c r="AF98" i="9"/>
  <c r="AG91" i="9"/>
  <c r="AL56" i="9"/>
  <c r="AM63" i="9"/>
  <c r="AI91" i="9"/>
  <c r="AN56" i="9"/>
  <c r="AV6" i="9"/>
  <c r="AO49" i="9"/>
  <c r="AU7" i="9"/>
  <c r="AJ84" i="9"/>
  <c r="AQ35" i="9"/>
  <c r="AH98" i="9"/>
  <c r="AG105" i="9"/>
  <c r="AL70" i="9"/>
  <c r="AT14" i="9"/>
  <c r="AS21" i="9"/>
  <c r="AK77" i="9"/>
  <c r="AP42" i="9"/>
  <c r="AR28" i="9"/>
  <c r="AG6" i="9"/>
  <c r="AC28" i="9"/>
  <c r="AF7" i="9"/>
  <c r="V77" i="9"/>
  <c r="W70" i="9"/>
  <c r="AA42" i="9"/>
  <c r="R105" i="9"/>
  <c r="AE14" i="9"/>
  <c r="U84" i="9"/>
  <c r="S98" i="9"/>
  <c r="AB35" i="9"/>
  <c r="Z49" i="9"/>
  <c r="Y56" i="9"/>
  <c r="X63" i="9"/>
  <c r="AD21" i="9"/>
  <c r="T91" i="9"/>
  <c r="AO28" i="9"/>
  <c r="AR7" i="9"/>
  <c r="AP21" i="9"/>
  <c r="AS6" i="9"/>
  <c r="AF91" i="9"/>
  <c r="AD105" i="9"/>
  <c r="AG84" i="9"/>
  <c r="AK56" i="9"/>
  <c r="AL49" i="9"/>
  <c r="AI70" i="9"/>
  <c r="AM42" i="9"/>
  <c r="AE98" i="9"/>
  <c r="AQ14" i="9"/>
  <c r="AN35" i="9"/>
  <c r="AJ63" i="9"/>
  <c r="AH77" i="9"/>
  <c r="AC63" i="9"/>
  <c r="AK7" i="9"/>
  <c r="AI21" i="9"/>
  <c r="Z84" i="9"/>
  <c r="AB70" i="9"/>
  <c r="AE49" i="9"/>
  <c r="AF42" i="9"/>
  <c r="Y91" i="9"/>
  <c r="AA77" i="9"/>
  <c r="AG35" i="9"/>
  <c r="AL6" i="9"/>
  <c r="AH28" i="9"/>
  <c r="W105" i="9"/>
  <c r="X98" i="9"/>
  <c r="AJ14" i="9"/>
  <c r="AD56" i="9"/>
  <c r="AU6" i="9"/>
  <c r="AN49" i="9"/>
  <c r="AK70" i="9"/>
  <c r="AS14" i="9"/>
  <c r="AQ28" i="9"/>
  <c r="AT7" i="9"/>
  <c r="AR21" i="9"/>
  <c r="AO42" i="9"/>
  <c r="AL63" i="9"/>
  <c r="AF105" i="9"/>
  <c r="AG98" i="9"/>
  <c r="AP35" i="9"/>
  <c r="AJ77" i="9"/>
  <c r="AH91" i="9"/>
  <c r="AI84" i="9"/>
  <c r="AM56" i="9"/>
  <c r="Y105" i="9"/>
  <c r="AL14" i="9"/>
  <c r="AC77" i="9"/>
  <c r="AA91" i="9"/>
  <c r="AN6" i="9"/>
  <c r="AI35" i="9"/>
  <c r="AK21" i="9"/>
  <c r="AH42" i="9"/>
  <c r="AJ28" i="9"/>
  <c r="AM7" i="9"/>
  <c r="AG49" i="9"/>
  <c r="AB84" i="9"/>
  <c r="AD70" i="9"/>
  <c r="AF56" i="9"/>
  <c r="AE63" i="9"/>
  <c r="Z98" i="9"/>
  <c r="AJ35" i="9"/>
  <c r="AK28" i="9"/>
  <c r="AN7" i="9"/>
  <c r="AM14" i="9"/>
  <c r="AE70" i="9"/>
  <c r="Z105" i="9"/>
  <c r="AI42" i="9"/>
  <c r="AG56" i="9"/>
  <c r="AC84" i="9"/>
  <c r="AD77" i="9"/>
  <c r="AF63" i="9"/>
  <c r="AH49" i="9"/>
  <c r="AO6" i="9"/>
  <c r="AB91" i="9"/>
  <c r="AA98" i="9"/>
  <c r="AL21" i="9"/>
  <c r="AP6" i="9"/>
  <c r="AK35" i="9"/>
  <c r="AL28" i="9"/>
  <c r="AC91" i="9"/>
  <c r="AB98" i="9"/>
  <c r="AF70" i="9"/>
  <c r="AG63" i="9"/>
  <c r="AA105" i="9"/>
  <c r="AE77" i="9"/>
  <c r="AI49" i="9"/>
  <c r="AJ42" i="9"/>
  <c r="AO7" i="9"/>
  <c r="AD84" i="9"/>
  <c r="AM21" i="9"/>
  <c r="AH56" i="9"/>
  <c r="AN14" i="9"/>
  <c r="AG77" i="9"/>
  <c r="AR6" i="9"/>
  <c r="AQ7" i="9"/>
  <c r="AM35" i="9"/>
  <c r="AK49" i="9"/>
  <c r="AE91" i="9"/>
  <c r="AD98" i="9"/>
  <c r="AJ56" i="9"/>
  <c r="AI63" i="9"/>
  <c r="AN28" i="9"/>
  <c r="AP14" i="9"/>
  <c r="AL42" i="9"/>
  <c r="AH70" i="9"/>
  <c r="AO21" i="9"/>
  <c r="AC105" i="9"/>
  <c r="AF84" i="9"/>
  <c r="AK42" i="9"/>
  <c r="AC98" i="9"/>
  <c r="AE84" i="9"/>
  <c r="AJ49" i="9"/>
  <c r="AQ6" i="9"/>
  <c r="AM28" i="9"/>
  <c r="AP7" i="9"/>
  <c r="AO14" i="9"/>
  <c r="AN21" i="9"/>
  <c r="AL35" i="9"/>
  <c r="AG70" i="9"/>
  <c r="AF77" i="9"/>
  <c r="AI56" i="9"/>
  <c r="AH63" i="9"/>
  <c r="AB105" i="9"/>
  <c r="AD91" i="9"/>
  <c r="AG28" i="9"/>
  <c r="AB63" i="9"/>
  <c r="AD49" i="9"/>
  <c r="AK6" i="9"/>
  <c r="AF35" i="9"/>
  <c r="AA70" i="9"/>
  <c r="Y84" i="9"/>
  <c r="AE42" i="9"/>
  <c r="X91" i="9"/>
  <c r="W98" i="9"/>
  <c r="Z77" i="9"/>
  <c r="AC56" i="9"/>
  <c r="AH21" i="9"/>
  <c r="AI14" i="9"/>
  <c r="V105" i="9"/>
  <c r="AJ7" i="9"/>
  <c r="AD28" i="9"/>
  <c r="U91" i="9"/>
  <c r="AE21" i="9"/>
  <c r="V84" i="9"/>
  <c r="Z56" i="9"/>
  <c r="AC35" i="9"/>
  <c r="AG7" i="9"/>
  <c r="X70" i="9"/>
  <c r="AH6" i="9"/>
  <c r="AA49" i="9"/>
  <c r="AB42" i="9"/>
  <c r="S105" i="9"/>
  <c r="Y63" i="9"/>
  <c r="AF14" i="9"/>
  <c r="W77" i="9"/>
  <c r="T98" i="9"/>
  <c r="O10" i="8"/>
  <c r="O3" i="7"/>
  <c r="Z3" i="7"/>
  <c r="Z10" i="8"/>
  <c r="AD3" i="7"/>
  <c r="AD10" i="8"/>
  <c r="K3" i="7"/>
  <c r="K10" i="8"/>
  <c r="AL10" i="8"/>
  <c r="AL3" i="7"/>
  <c r="U3" i="7"/>
  <c r="U10" i="8"/>
  <c r="X10" i="8"/>
  <c r="X3" i="7"/>
  <c r="T3" i="7"/>
  <c r="T10" i="8"/>
  <c r="AC10" i="8"/>
  <c r="AC3" i="7"/>
  <c r="AA3" i="7"/>
  <c r="AA10" i="8"/>
  <c r="P10" i="8"/>
  <c r="P3" i="7"/>
  <c r="AM10" i="8"/>
  <c r="AM3" i="7"/>
  <c r="N3" i="7"/>
  <c r="N10" i="8"/>
  <c r="V10" i="8"/>
  <c r="V3" i="7"/>
  <c r="Q10" i="8"/>
  <c r="Q3" i="7"/>
  <c r="AE10" i="8"/>
  <c r="AE3" i="7"/>
  <c r="AF10" i="8"/>
  <c r="AF3" i="7"/>
  <c r="AG10" i="8"/>
  <c r="AG3" i="7"/>
  <c r="AI10" i="8"/>
  <c r="AI3" i="7"/>
  <c r="I10" i="8"/>
  <c r="I3" i="7"/>
  <c r="W10" i="8"/>
  <c r="W3" i="7"/>
  <c r="R10" i="8"/>
  <c r="R3" i="7"/>
  <c r="AK3" i="7"/>
  <c r="AK10" i="8"/>
  <c r="AJ10" i="8"/>
  <c r="AJ3" i="7"/>
  <c r="S10" i="8"/>
  <c r="S3" i="7"/>
  <c r="L3" i="7"/>
  <c r="L10" i="8"/>
  <c r="J10" i="8"/>
  <c r="J3" i="7"/>
  <c r="AH10" i="8"/>
  <c r="AH3" i="7"/>
  <c r="H3" i="7"/>
  <c r="H10" i="8"/>
  <c r="AB3" i="7"/>
  <c r="AB10" i="8"/>
  <c r="Y3" i="7"/>
  <c r="Y10" i="8"/>
  <c r="M10" i="8"/>
  <c r="M3" i="7"/>
  <c r="AU5" i="9" l="1"/>
  <c r="AV8" i="9"/>
  <c r="AV13" i="9" s="1"/>
  <c r="AL9" i="8"/>
  <c r="AM12" i="8"/>
  <c r="AL2" i="7"/>
  <c r="AM5" i="7"/>
  <c r="AV15" i="9" l="1"/>
  <c r="AV20" i="9" s="1"/>
  <c r="AU12" i="9"/>
  <c r="AU8" i="9"/>
  <c r="AU13" i="9" s="1"/>
  <c r="AT5" i="9"/>
  <c r="AL5" i="7"/>
  <c r="AK2" i="7"/>
  <c r="AL12" i="8"/>
  <c r="AK9" i="8"/>
  <c r="AS5" i="9" l="1"/>
  <c r="AT8" i="9"/>
  <c r="AT13" i="9" s="1"/>
  <c r="AU19" i="9"/>
  <c r="AV22" i="9"/>
  <c r="AV27" i="9" s="1"/>
  <c r="AT12" i="9"/>
  <c r="AU15" i="9"/>
  <c r="AU20" i="9" s="1"/>
  <c r="AK5" i="7"/>
  <c r="AJ2" i="7"/>
  <c r="AK12" i="8"/>
  <c r="AJ9" i="8"/>
  <c r="AV29" i="9" l="1"/>
  <c r="AV34" i="9" s="1"/>
  <c r="AU26" i="9"/>
  <c r="AS12" i="9"/>
  <c r="AT15" i="9"/>
  <c r="AT20" i="9" s="1"/>
  <c r="AT19" i="9"/>
  <c r="AU22" i="9"/>
  <c r="AU27" i="9" s="1"/>
  <c r="AR5" i="9"/>
  <c r="AS8" i="9"/>
  <c r="AS13" i="9" s="1"/>
  <c r="AI2" i="7"/>
  <c r="AJ5" i="7"/>
  <c r="AJ12" i="8"/>
  <c r="AI9" i="8"/>
  <c r="AT22" i="9" l="1"/>
  <c r="AT27" i="9" s="1"/>
  <c r="AS19" i="9"/>
  <c r="AS15" i="9"/>
  <c r="AS20" i="9" s="1"/>
  <c r="AR12" i="9"/>
  <c r="AU29" i="9"/>
  <c r="AU34" i="9" s="1"/>
  <c r="AT26" i="9"/>
  <c r="AQ5" i="9"/>
  <c r="AR8" i="9"/>
  <c r="AR13" i="9" s="1"/>
  <c r="AU33" i="9"/>
  <c r="AV36" i="9"/>
  <c r="AV41" i="9" s="1"/>
  <c r="AI12" i="8"/>
  <c r="AH9" i="8"/>
  <c r="AI5" i="7"/>
  <c r="AH2" i="7"/>
  <c r="AS26" i="9" l="1"/>
  <c r="AT29" i="9"/>
  <c r="AT34" i="9" s="1"/>
  <c r="AQ12" i="9"/>
  <c r="AR15" i="9"/>
  <c r="AR20" i="9" s="1"/>
  <c r="AU36" i="9"/>
  <c r="AU41" i="9" s="1"/>
  <c r="AT33" i="9"/>
  <c r="AR19" i="9"/>
  <c r="AS22" i="9"/>
  <c r="AS27" i="9" s="1"/>
  <c r="AU40" i="9"/>
  <c r="AV43" i="9"/>
  <c r="AV48" i="9" s="1"/>
  <c r="AQ8" i="9"/>
  <c r="AQ13" i="9" s="1"/>
  <c r="AP5" i="9"/>
  <c r="AH5" i="7"/>
  <c r="AG2" i="7"/>
  <c r="AG9" i="8"/>
  <c r="AH12" i="8"/>
  <c r="AT36" i="9" l="1"/>
  <c r="AT41" i="9" s="1"/>
  <c r="AS33" i="9"/>
  <c r="AU47" i="9"/>
  <c r="AV50" i="9"/>
  <c r="AV55" i="9" s="1"/>
  <c r="AO5" i="9"/>
  <c r="AP8" i="9"/>
  <c r="AP13" i="9" s="1"/>
  <c r="AT40" i="9"/>
  <c r="AU43" i="9"/>
  <c r="AU48" i="9" s="1"/>
  <c r="AP12" i="9"/>
  <c r="AQ15" i="9"/>
  <c r="AQ20" i="9" s="1"/>
  <c r="AQ19" i="9"/>
  <c r="AR22" i="9"/>
  <c r="AR27" i="9" s="1"/>
  <c r="AS29" i="9"/>
  <c r="AS34" i="9" s="1"/>
  <c r="AR26" i="9"/>
  <c r="AG5" i="7"/>
  <c r="AF2" i="7"/>
  <c r="AF9" i="8"/>
  <c r="AG12" i="8"/>
  <c r="AO8" i="9" l="1"/>
  <c r="AO13" i="9" s="1"/>
  <c r="AN5" i="9"/>
  <c r="AV57" i="9"/>
  <c r="AV62" i="9" s="1"/>
  <c r="AU54" i="9"/>
  <c r="AO12" i="9"/>
  <c r="AP15" i="9"/>
  <c r="AP20" i="9" s="1"/>
  <c r="AU50" i="9"/>
  <c r="AU55" i="9" s="1"/>
  <c r="AT47" i="9"/>
  <c r="AP19" i="9"/>
  <c r="AQ22" i="9"/>
  <c r="AQ27" i="9" s="1"/>
  <c r="AR33" i="9"/>
  <c r="AS36" i="9"/>
  <c r="AS41" i="9" s="1"/>
  <c r="AQ26" i="9"/>
  <c r="AR29" i="9"/>
  <c r="AR34" i="9" s="1"/>
  <c r="AS40" i="9"/>
  <c r="AT43" i="9"/>
  <c r="AT48" i="9" s="1"/>
  <c r="AE2" i="7"/>
  <c r="AF5" i="7"/>
  <c r="AE9" i="8"/>
  <c r="AF12" i="8"/>
  <c r="AR36" i="9" l="1"/>
  <c r="AR41" i="9" s="1"/>
  <c r="AQ33" i="9"/>
  <c r="AO15" i="9"/>
  <c r="AO20" i="9" s="1"/>
  <c r="AN12" i="9"/>
  <c r="AU57" i="9"/>
  <c r="AU62" i="9" s="1"/>
  <c r="AT54" i="9"/>
  <c r="AS43" i="9"/>
  <c r="AS48" i="9" s="1"/>
  <c r="AR40" i="9"/>
  <c r="AP22" i="9"/>
  <c r="AP27" i="9" s="1"/>
  <c r="AO19" i="9"/>
  <c r="AU61" i="9"/>
  <c r="AV64" i="9"/>
  <c r="AV69" i="9" s="1"/>
  <c r="AT50" i="9"/>
  <c r="AT55" i="9" s="1"/>
  <c r="AS47" i="9"/>
  <c r="AM5" i="9"/>
  <c r="AN8" i="9"/>
  <c r="AN13" i="9" s="1"/>
  <c r="AP26" i="9"/>
  <c r="AQ29" i="9"/>
  <c r="AQ34" i="9" s="1"/>
  <c r="AE12" i="8"/>
  <c r="AD9" i="8"/>
  <c r="AE5" i="7"/>
  <c r="AD2" i="7"/>
  <c r="AU68" i="9" l="1"/>
  <c r="AV71" i="9"/>
  <c r="AV76" i="9" s="1"/>
  <c r="AS54" i="9"/>
  <c r="AT57" i="9"/>
  <c r="AT62" i="9" s="1"/>
  <c r="AU64" i="9"/>
  <c r="AU69" i="9" s="1"/>
  <c r="AT61" i="9"/>
  <c r="AN19" i="9"/>
  <c r="AO22" i="9"/>
  <c r="AO27" i="9" s="1"/>
  <c r="AN15" i="9"/>
  <c r="AN20" i="9" s="1"/>
  <c r="AM12" i="9"/>
  <c r="AM8" i="9"/>
  <c r="AM13" i="9" s="1"/>
  <c r="AL5" i="9"/>
  <c r="AP29" i="9"/>
  <c r="AP34" i="9" s="1"/>
  <c r="AO26" i="9"/>
  <c r="AS50" i="9"/>
  <c r="AS55" i="9" s="1"/>
  <c r="AR47" i="9"/>
  <c r="AQ40" i="9"/>
  <c r="AR43" i="9"/>
  <c r="AR48" i="9" s="1"/>
  <c r="AP33" i="9"/>
  <c r="AQ36" i="9"/>
  <c r="AQ41" i="9" s="1"/>
  <c r="AD12" i="8"/>
  <c r="AC9" i="8"/>
  <c r="AC2" i="7"/>
  <c r="AD5" i="7"/>
  <c r="AK5" i="9" l="1"/>
  <c r="AL8" i="9"/>
  <c r="AL13" i="9" s="1"/>
  <c r="AS61" i="9"/>
  <c r="AT64" i="9"/>
  <c r="AT69" i="9" s="1"/>
  <c r="AP40" i="9"/>
  <c r="AQ43" i="9"/>
  <c r="AQ48" i="9" s="1"/>
  <c r="AR50" i="9"/>
  <c r="AR55" i="9" s="1"/>
  <c r="AQ47" i="9"/>
  <c r="AL12" i="9"/>
  <c r="AM15" i="9"/>
  <c r="AM20" i="9" s="1"/>
  <c r="AR54" i="9"/>
  <c r="AS57" i="9"/>
  <c r="AS62" i="9" s="1"/>
  <c r="AO29" i="9"/>
  <c r="AO34" i="9" s="1"/>
  <c r="AN26" i="9"/>
  <c r="AV78" i="9"/>
  <c r="AV83" i="9" s="1"/>
  <c r="AU75" i="9"/>
  <c r="AO33" i="9"/>
  <c r="AP36" i="9"/>
  <c r="AP41" i="9" s="1"/>
  <c r="AN22" i="9"/>
  <c r="AN27" i="9" s="1"/>
  <c r="AM19" i="9"/>
  <c r="AT68" i="9"/>
  <c r="AU71" i="9"/>
  <c r="AU76" i="9" s="1"/>
  <c r="AC12" i="8"/>
  <c r="AB9" i="8"/>
  <c r="AC5" i="7"/>
  <c r="AB2" i="7"/>
  <c r="AO36" i="9" l="1"/>
  <c r="AO41" i="9" s="1"/>
  <c r="AN33" i="9"/>
  <c r="AR57" i="9"/>
  <c r="AR62" i="9" s="1"/>
  <c r="AQ54" i="9"/>
  <c r="AP43" i="9"/>
  <c r="AP48" i="9" s="1"/>
  <c r="AO40" i="9"/>
  <c r="AU78" i="9"/>
  <c r="AU83" i="9" s="1"/>
  <c r="AT75" i="9"/>
  <c r="AT71" i="9"/>
  <c r="AT76" i="9" s="1"/>
  <c r="AS68" i="9"/>
  <c r="AU82" i="9"/>
  <c r="AV85" i="9"/>
  <c r="AV90" i="9" s="1"/>
  <c r="AK12" i="9"/>
  <c r="AL15" i="9"/>
  <c r="AL20" i="9" s="1"/>
  <c r="AS64" i="9"/>
  <c r="AS69" i="9" s="1"/>
  <c r="AR61" i="9"/>
  <c r="AL19" i="9"/>
  <c r="AM22" i="9"/>
  <c r="AM27" i="9" s="1"/>
  <c r="AN29" i="9"/>
  <c r="AN34" i="9" s="1"/>
  <c r="AM26" i="9"/>
  <c r="AP47" i="9"/>
  <c r="AQ50" i="9"/>
  <c r="AQ55" i="9" s="1"/>
  <c r="AK8" i="9"/>
  <c r="AK13" i="9" s="1"/>
  <c r="AJ5" i="9"/>
  <c r="AB5" i="7"/>
  <c r="AA2" i="7"/>
  <c r="AA9" i="8"/>
  <c r="AB12" i="8"/>
  <c r="AU89" i="9" l="1"/>
  <c r="AV92" i="9"/>
  <c r="AV97" i="9" s="1"/>
  <c r="AN40" i="9"/>
  <c r="AO43" i="9"/>
  <c r="AO48" i="9" s="1"/>
  <c r="AT82" i="9"/>
  <c r="AU85" i="9"/>
  <c r="AU90" i="9" s="1"/>
  <c r="AR64" i="9"/>
  <c r="AR69" i="9" s="1"/>
  <c r="AQ61" i="9"/>
  <c r="AR68" i="9"/>
  <c r="AS71" i="9"/>
  <c r="AS76" i="9" s="1"/>
  <c r="AP54" i="9"/>
  <c r="AQ57" i="9"/>
  <c r="AQ62" i="9" s="1"/>
  <c r="AJ8" i="9"/>
  <c r="AJ13" i="9" s="1"/>
  <c r="AI5" i="9"/>
  <c r="AO47" i="9"/>
  <c r="AP50" i="9"/>
  <c r="AP55" i="9" s="1"/>
  <c r="AL26" i="9"/>
  <c r="AM29" i="9"/>
  <c r="AM34" i="9" s="1"/>
  <c r="AS75" i="9"/>
  <c r="AT78" i="9"/>
  <c r="AT83" i="9" s="1"/>
  <c r="AM33" i="9"/>
  <c r="AN36" i="9"/>
  <c r="AN41" i="9" s="1"/>
  <c r="AK19" i="9"/>
  <c r="AL22" i="9"/>
  <c r="AL27" i="9" s="1"/>
  <c r="AJ12" i="9"/>
  <c r="AK15" i="9"/>
  <c r="AK20" i="9" s="1"/>
  <c r="Z2" i="7"/>
  <c r="AA5" i="7"/>
  <c r="Z9" i="8"/>
  <c r="AA12" i="8"/>
  <c r="AK26" i="9" l="1"/>
  <c r="AL29" i="9"/>
  <c r="AL34" i="9" s="1"/>
  <c r="AP57" i="9"/>
  <c r="AP62" i="9" s="1"/>
  <c r="AO54" i="9"/>
  <c r="AT85" i="9"/>
  <c r="AT90" i="9" s="1"/>
  <c r="AS82" i="9"/>
  <c r="AJ19" i="9"/>
  <c r="AK22" i="9"/>
  <c r="AK27" i="9" s="1"/>
  <c r="AM36" i="9"/>
  <c r="AM41" i="9" s="1"/>
  <c r="AL33" i="9"/>
  <c r="AO50" i="9"/>
  <c r="AO55" i="9" s="1"/>
  <c r="AN47" i="9"/>
  <c r="AR71" i="9"/>
  <c r="AR76" i="9" s="1"/>
  <c r="AQ68" i="9"/>
  <c r="AN43" i="9"/>
  <c r="AN48" i="9" s="1"/>
  <c r="AM40" i="9"/>
  <c r="AJ15" i="9"/>
  <c r="AJ20" i="9" s="1"/>
  <c r="AI12" i="9"/>
  <c r="AH5" i="9"/>
  <c r="AI8" i="9"/>
  <c r="AI13" i="9" s="1"/>
  <c r="AQ64" i="9"/>
  <c r="AQ69" i="9" s="1"/>
  <c r="AP61" i="9"/>
  <c r="AU96" i="9"/>
  <c r="AV99" i="9"/>
  <c r="AV104" i="9" s="1"/>
  <c r="AS78" i="9"/>
  <c r="AS83" i="9" s="1"/>
  <c r="AR75" i="9"/>
  <c r="AU92" i="9"/>
  <c r="AU97" i="9" s="1"/>
  <c r="AT89" i="9"/>
  <c r="Y9" i="8"/>
  <c r="Z12" i="8"/>
  <c r="Z5" i="7"/>
  <c r="Y2" i="7"/>
  <c r="AI15" i="9" l="1"/>
  <c r="AI20" i="9" s="1"/>
  <c r="AH12" i="9"/>
  <c r="AM47" i="9"/>
  <c r="AN50" i="9"/>
  <c r="AN55" i="9" s="1"/>
  <c r="AS85" i="9"/>
  <c r="AS90" i="9" s="1"/>
  <c r="AR82" i="9"/>
  <c r="AP64" i="9"/>
  <c r="AP69" i="9" s="1"/>
  <c r="AO61" i="9"/>
  <c r="AL40" i="9"/>
  <c r="AM43" i="9"/>
  <c r="AM48" i="9" s="1"/>
  <c r="AL36" i="9"/>
  <c r="AL41" i="9" s="1"/>
  <c r="AK33" i="9"/>
  <c r="AO57" i="9"/>
  <c r="AO62" i="9" s="1"/>
  <c r="AN54" i="9"/>
  <c r="AU99" i="9"/>
  <c r="AU104" i="9" s="1"/>
  <c r="AT96" i="9"/>
  <c r="AS89" i="9"/>
  <c r="AT92" i="9"/>
  <c r="AT97" i="9" s="1"/>
  <c r="AQ75" i="9"/>
  <c r="AR78" i="9"/>
  <c r="AR83" i="9" s="1"/>
  <c r="AP68" i="9"/>
  <c r="AQ71" i="9"/>
  <c r="AQ76" i="9" s="1"/>
  <c r="AU103" i="9"/>
  <c r="AV106" i="9"/>
  <c r="AG5" i="9"/>
  <c r="AH8" i="9"/>
  <c r="AH13" i="9" s="1"/>
  <c r="AJ22" i="9"/>
  <c r="AJ27" i="9" s="1"/>
  <c r="AI19" i="9"/>
  <c r="AK29" i="9"/>
  <c r="AK34" i="9" s="1"/>
  <c r="AJ26" i="9"/>
  <c r="X2" i="7"/>
  <c r="Y5" i="7"/>
  <c r="Y12" i="8"/>
  <c r="X9" i="8"/>
  <c r="AI26" i="9" l="1"/>
  <c r="AJ29" i="9"/>
  <c r="AJ34" i="9" s="1"/>
  <c r="AJ33" i="9"/>
  <c r="AK36" i="9"/>
  <c r="AK41" i="9" s="1"/>
  <c r="AQ82" i="9"/>
  <c r="AR85" i="9"/>
  <c r="AR90" i="9" s="1"/>
  <c r="AT103" i="9"/>
  <c r="AU106" i="9"/>
  <c r="AR89" i="9"/>
  <c r="AS92" i="9"/>
  <c r="AS97" i="9" s="1"/>
  <c r="AS96" i="9"/>
  <c r="AT99" i="9"/>
  <c r="AT104" i="9" s="1"/>
  <c r="AI22" i="9"/>
  <c r="AI27" i="9" s="1"/>
  <c r="AH19" i="9"/>
  <c r="AO68" i="9"/>
  <c r="AP71" i="9"/>
  <c r="AP76" i="9" s="1"/>
  <c r="AL43" i="9"/>
  <c r="AL48" i="9" s="1"/>
  <c r="AK40" i="9"/>
  <c r="AM50" i="9"/>
  <c r="AM55" i="9" s="1"/>
  <c r="AL47" i="9"/>
  <c r="AM54" i="9"/>
  <c r="AN57" i="9"/>
  <c r="AN62" i="9" s="1"/>
  <c r="AO64" i="9"/>
  <c r="AO69" i="9" s="1"/>
  <c r="AN61" i="9"/>
  <c r="AH15" i="9"/>
  <c r="AH20" i="9" s="1"/>
  <c r="AG12" i="9"/>
  <c r="AF5" i="9"/>
  <c r="AG8" i="9"/>
  <c r="AG13" i="9" s="1"/>
  <c r="AQ78" i="9"/>
  <c r="AQ83" i="9" s="1"/>
  <c r="AP75" i="9"/>
  <c r="W9" i="8"/>
  <c r="X12" i="8"/>
  <c r="W2" i="7"/>
  <c r="X5" i="7"/>
  <c r="AO75" i="9" l="1"/>
  <c r="AP78" i="9"/>
  <c r="AP83" i="9" s="1"/>
  <c r="AR96" i="9"/>
  <c r="AS99" i="9"/>
  <c r="AS104" i="9" s="1"/>
  <c r="AQ85" i="9"/>
  <c r="AQ90" i="9" s="1"/>
  <c r="AP82" i="9"/>
  <c r="AJ40" i="9"/>
  <c r="AK43" i="9"/>
  <c r="AK48" i="9" s="1"/>
  <c r="AE5" i="9"/>
  <c r="AF8" i="9"/>
  <c r="AF13" i="9" s="1"/>
  <c r="AL54" i="9"/>
  <c r="AM57" i="9"/>
  <c r="AM62" i="9" s="1"/>
  <c r="AN68" i="9"/>
  <c r="AO71" i="9"/>
  <c r="AO76" i="9" s="1"/>
  <c r="AR92" i="9"/>
  <c r="AR97" i="9" s="1"/>
  <c r="AQ89" i="9"/>
  <c r="AJ36" i="9"/>
  <c r="AJ41" i="9" s="1"/>
  <c r="AI33" i="9"/>
  <c r="AM61" i="9"/>
  <c r="AN64" i="9"/>
  <c r="AN69" i="9" s="1"/>
  <c r="AG15" i="9"/>
  <c r="AG20" i="9" s="1"/>
  <c r="AF12" i="9"/>
  <c r="AL50" i="9"/>
  <c r="AL55" i="9" s="1"/>
  <c r="AK47" i="9"/>
  <c r="AH22" i="9"/>
  <c r="AH27" i="9" s="1"/>
  <c r="AG19" i="9"/>
  <c r="AS103" i="9"/>
  <c r="AT106" i="9"/>
  <c r="AH26" i="9"/>
  <c r="AI29" i="9"/>
  <c r="AI34" i="9" s="1"/>
  <c r="W5" i="7"/>
  <c r="V2" i="7"/>
  <c r="W12" i="8"/>
  <c r="V9" i="8"/>
  <c r="AJ47" i="9" l="1"/>
  <c r="AK50" i="9"/>
  <c r="AK55" i="9" s="1"/>
  <c r="AI36" i="9"/>
  <c r="AI41" i="9" s="1"/>
  <c r="AH33" i="9"/>
  <c r="AP85" i="9"/>
  <c r="AP90" i="9" s="1"/>
  <c r="AO82" i="9"/>
  <c r="AL57" i="9"/>
  <c r="AL62" i="9" s="1"/>
  <c r="AK54" i="9"/>
  <c r="AE12" i="9"/>
  <c r="AF15" i="9"/>
  <c r="AF20" i="9" s="1"/>
  <c r="AP89" i="9"/>
  <c r="AQ92" i="9"/>
  <c r="AQ97" i="9" s="1"/>
  <c r="AR103" i="9"/>
  <c r="AS106" i="9"/>
  <c r="AD5" i="9"/>
  <c r="AE8" i="9"/>
  <c r="AE13" i="9" s="1"/>
  <c r="AR99" i="9"/>
  <c r="AR104" i="9" s="1"/>
  <c r="AQ96" i="9"/>
  <c r="AG26" i="9"/>
  <c r="AH29" i="9"/>
  <c r="AH34" i="9" s="1"/>
  <c r="AF19" i="9"/>
  <c r="AG22" i="9"/>
  <c r="AG27" i="9" s="1"/>
  <c r="AL61" i="9"/>
  <c r="AM64" i="9"/>
  <c r="AM69" i="9" s="1"/>
  <c r="AN71" i="9"/>
  <c r="AN76" i="9" s="1"/>
  <c r="AM68" i="9"/>
  <c r="AJ43" i="9"/>
  <c r="AJ48" i="9" s="1"/>
  <c r="AI40" i="9"/>
  <c r="AO78" i="9"/>
  <c r="AO83" i="9" s="1"/>
  <c r="AN75" i="9"/>
  <c r="V5" i="7"/>
  <c r="U2" i="7"/>
  <c r="U9" i="8"/>
  <c r="V12" i="8"/>
  <c r="AQ99" i="9" l="1"/>
  <c r="AQ104" i="9" s="1"/>
  <c r="AP96" i="9"/>
  <c r="AO85" i="9"/>
  <c r="AO90" i="9" s="1"/>
  <c r="AN82" i="9"/>
  <c r="AP92" i="9"/>
  <c r="AP97" i="9" s="1"/>
  <c r="AO89" i="9"/>
  <c r="AH40" i="9"/>
  <c r="AI43" i="9"/>
  <c r="AI48" i="9" s="1"/>
  <c r="AG33" i="9"/>
  <c r="AH36" i="9"/>
  <c r="AH41" i="9" s="1"/>
  <c r="AE19" i="9"/>
  <c r="AF22" i="9"/>
  <c r="AF27" i="9" s="1"/>
  <c r="AC5" i="9"/>
  <c r="AD8" i="9"/>
  <c r="AD13" i="9" s="1"/>
  <c r="AD12" i="9"/>
  <c r="AE15" i="9"/>
  <c r="AE20" i="9" s="1"/>
  <c r="AM75" i="9"/>
  <c r="AN78" i="9"/>
  <c r="AN83" i="9" s="1"/>
  <c r="AL68" i="9"/>
  <c r="AM71" i="9"/>
  <c r="AM76" i="9" s="1"/>
  <c r="AK57" i="9"/>
  <c r="AK62" i="9" s="1"/>
  <c r="AJ54" i="9"/>
  <c r="AK61" i="9"/>
  <c r="AL64" i="9"/>
  <c r="AL69" i="9" s="1"/>
  <c r="AG29" i="9"/>
  <c r="AG34" i="9" s="1"/>
  <c r="AF26" i="9"/>
  <c r="AQ103" i="9"/>
  <c r="AR106" i="9"/>
  <c r="AI47" i="9"/>
  <c r="AJ50" i="9"/>
  <c r="AJ55" i="9" s="1"/>
  <c r="U5" i="7"/>
  <c r="T2" i="7"/>
  <c r="T9" i="8"/>
  <c r="U12" i="8"/>
  <c r="AN89" i="9" l="1"/>
  <c r="AO92" i="9"/>
  <c r="AO97" i="9" s="1"/>
  <c r="AK64" i="9"/>
  <c r="AK69" i="9" s="1"/>
  <c r="AJ61" i="9"/>
  <c r="AM78" i="9"/>
  <c r="AM83" i="9" s="1"/>
  <c r="AL75" i="9"/>
  <c r="AE22" i="9"/>
  <c r="AE27" i="9" s="1"/>
  <c r="AD19" i="9"/>
  <c r="AJ57" i="9"/>
  <c r="AJ62" i="9" s="1"/>
  <c r="AI54" i="9"/>
  <c r="AN85" i="9"/>
  <c r="AN90" i="9" s="1"/>
  <c r="AM82" i="9"/>
  <c r="AI50" i="9"/>
  <c r="AI55" i="9" s="1"/>
  <c r="AH47" i="9"/>
  <c r="AP103" i="9"/>
  <c r="AQ106" i="9"/>
  <c r="AD15" i="9"/>
  <c r="AD20" i="9" s="1"/>
  <c r="AC12" i="9"/>
  <c r="AG36" i="9"/>
  <c r="AG41" i="9" s="1"/>
  <c r="AF33" i="9"/>
  <c r="AE26" i="9"/>
  <c r="AF29" i="9"/>
  <c r="AF34" i="9" s="1"/>
  <c r="AP99" i="9"/>
  <c r="AP104" i="9" s="1"/>
  <c r="AO96" i="9"/>
  <c r="AL71" i="9"/>
  <c r="AL76" i="9" s="1"/>
  <c r="AK68" i="9"/>
  <c r="AC8" i="9"/>
  <c r="AC13" i="9" s="1"/>
  <c r="AB5" i="9"/>
  <c r="AG40" i="9"/>
  <c r="AH43" i="9"/>
  <c r="AH48" i="9" s="1"/>
  <c r="T5" i="7"/>
  <c r="S2" i="7"/>
  <c r="T12" i="8"/>
  <c r="S9" i="8"/>
  <c r="AO99" i="9" l="1"/>
  <c r="AO104" i="9" s="1"/>
  <c r="AN96" i="9"/>
  <c r="AC15" i="9"/>
  <c r="AC20" i="9" s="1"/>
  <c r="AB12" i="9"/>
  <c r="AM85" i="9"/>
  <c r="AM90" i="9" s="1"/>
  <c r="AL82" i="9"/>
  <c r="AL78" i="9"/>
  <c r="AL83" i="9" s="1"/>
  <c r="AK75" i="9"/>
  <c r="AH54" i="9"/>
  <c r="AI57" i="9"/>
  <c r="AI62" i="9" s="1"/>
  <c r="AJ64" i="9"/>
  <c r="AJ69" i="9" s="1"/>
  <c r="AI61" i="9"/>
  <c r="AD26" i="9"/>
  <c r="AE29" i="9"/>
  <c r="AE34" i="9" s="1"/>
  <c r="AP106" i="9"/>
  <c r="AO103" i="9"/>
  <c r="AG43" i="9"/>
  <c r="AG48" i="9" s="1"/>
  <c r="AF40" i="9"/>
  <c r="AA5" i="9"/>
  <c r="AB8" i="9"/>
  <c r="AB13" i="9" s="1"/>
  <c r="AK71" i="9"/>
  <c r="AK76" i="9" s="1"/>
  <c r="AJ68" i="9"/>
  <c r="AE33" i="9"/>
  <c r="AF36" i="9"/>
  <c r="AF41" i="9" s="1"/>
  <c r="AG47" i="9"/>
  <c r="AH50" i="9"/>
  <c r="AH55" i="9" s="1"/>
  <c r="AC19" i="9"/>
  <c r="AD22" i="9"/>
  <c r="AD27" i="9" s="1"/>
  <c r="AM89" i="9"/>
  <c r="AN92" i="9"/>
  <c r="AN97" i="9" s="1"/>
  <c r="S5" i="7"/>
  <c r="R2" i="7"/>
  <c r="S12" i="8"/>
  <c r="R9" i="8"/>
  <c r="AF43" i="9" l="1"/>
  <c r="AF48" i="9" s="1"/>
  <c r="AE40" i="9"/>
  <c r="AH61" i="9"/>
  <c r="AI64" i="9"/>
  <c r="AI69" i="9" s="1"/>
  <c r="AL85" i="9"/>
  <c r="AL90" i="9" s="1"/>
  <c r="AK82" i="9"/>
  <c r="AE36" i="9"/>
  <c r="AE41" i="9" s="1"/>
  <c r="AD33" i="9"/>
  <c r="AJ71" i="9"/>
  <c r="AJ76" i="9" s="1"/>
  <c r="AI68" i="9"/>
  <c r="AO106" i="9"/>
  <c r="AN103" i="9"/>
  <c r="AB15" i="9"/>
  <c r="AB20" i="9" s="1"/>
  <c r="AA12" i="9"/>
  <c r="AL89" i="9"/>
  <c r="AM92" i="9"/>
  <c r="AM97" i="9" s="1"/>
  <c r="AB19" i="9"/>
  <c r="AC22" i="9"/>
  <c r="AC27" i="9" s="1"/>
  <c r="AH57" i="9"/>
  <c r="AH62" i="9" s="1"/>
  <c r="AG54" i="9"/>
  <c r="AK78" i="9"/>
  <c r="AK83" i="9" s="1"/>
  <c r="AJ75" i="9"/>
  <c r="AN99" i="9"/>
  <c r="AN104" i="9" s="1"/>
  <c r="AM96" i="9"/>
  <c r="AF47" i="9"/>
  <c r="AG50" i="9"/>
  <c r="AG55" i="9" s="1"/>
  <c r="AA8" i="9"/>
  <c r="AA13" i="9" s="1"/>
  <c r="Z5" i="9"/>
  <c r="AD29" i="9"/>
  <c r="AD34" i="9" s="1"/>
  <c r="AC26" i="9"/>
  <c r="R5" i="7"/>
  <c r="Q2" i="7"/>
  <c r="R12" i="8"/>
  <c r="Q9" i="8"/>
  <c r="AL96" i="9" l="1"/>
  <c r="AM99" i="9"/>
  <c r="AM104" i="9" s="1"/>
  <c r="AM103" i="9"/>
  <c r="AN106" i="9"/>
  <c r="AJ82" i="9"/>
  <c r="AK85" i="9"/>
  <c r="AK90" i="9" s="1"/>
  <c r="AF50" i="9"/>
  <c r="AF55" i="9" s="1"/>
  <c r="AE47" i="9"/>
  <c r="AB22" i="9"/>
  <c r="AB27" i="9" s="1"/>
  <c r="AA19" i="9"/>
  <c r="AJ78" i="9"/>
  <c r="AJ83" i="9" s="1"/>
  <c r="AI75" i="9"/>
  <c r="AH68" i="9"/>
  <c r="AI71" i="9"/>
  <c r="AI76" i="9" s="1"/>
  <c r="AB26" i="9"/>
  <c r="AC29" i="9"/>
  <c r="AC34" i="9" s="1"/>
  <c r="Y5" i="9"/>
  <c r="Z8" i="9"/>
  <c r="Z13" i="9" s="1"/>
  <c r="AK89" i="9"/>
  <c r="AL92" i="9"/>
  <c r="AL97" i="9" s="1"/>
  <c r="AH64" i="9"/>
  <c r="AH69" i="9" s="1"/>
  <c r="AG61" i="9"/>
  <c r="AF54" i="9"/>
  <c r="AG57" i="9"/>
  <c r="AG62" i="9" s="1"/>
  <c r="Z12" i="9"/>
  <c r="AA15" i="9"/>
  <c r="AA20" i="9" s="1"/>
  <c r="AC33" i="9"/>
  <c r="AD36" i="9"/>
  <c r="AD41" i="9" s="1"/>
  <c r="AE43" i="9"/>
  <c r="AE48" i="9" s="1"/>
  <c r="AD40" i="9"/>
  <c r="P2" i="7"/>
  <c r="Q5" i="7"/>
  <c r="Q12" i="8"/>
  <c r="P9" i="8"/>
  <c r="AI78" i="9" l="1"/>
  <c r="AI83" i="9" s="1"/>
  <c r="AH75" i="9"/>
  <c r="AF57" i="9"/>
  <c r="AF62" i="9" s="1"/>
  <c r="AE54" i="9"/>
  <c r="Y8" i="9"/>
  <c r="Y13" i="9" s="1"/>
  <c r="X5" i="9"/>
  <c r="AJ85" i="9"/>
  <c r="AJ90" i="9" s="1"/>
  <c r="AI82" i="9"/>
  <c r="AD43" i="9"/>
  <c r="AD48" i="9" s="1"/>
  <c r="AC40" i="9"/>
  <c r="AF61" i="9"/>
  <c r="AG64" i="9"/>
  <c r="AG69" i="9" s="1"/>
  <c r="AA22" i="9"/>
  <c r="AA27" i="9" s="1"/>
  <c r="Z19" i="9"/>
  <c r="AC36" i="9"/>
  <c r="AC41" i="9" s="1"/>
  <c r="AB33" i="9"/>
  <c r="AA26" i="9"/>
  <c r="AB29" i="9"/>
  <c r="AB34" i="9" s="1"/>
  <c r="AL103" i="9"/>
  <c r="AM106" i="9"/>
  <c r="Y12" i="9"/>
  <c r="Z15" i="9"/>
  <c r="Z20" i="9" s="1"/>
  <c r="AE50" i="9"/>
  <c r="AE55" i="9" s="1"/>
  <c r="AD47" i="9"/>
  <c r="AK92" i="9"/>
  <c r="AK97" i="9" s="1"/>
  <c r="AJ89" i="9"/>
  <c r="AH71" i="9"/>
  <c r="AH76" i="9" s="1"/>
  <c r="AG68" i="9"/>
  <c r="AL99" i="9"/>
  <c r="AL104" i="9" s="1"/>
  <c r="AK96" i="9"/>
  <c r="O9" i="8"/>
  <c r="P12" i="8"/>
  <c r="P5" i="7"/>
  <c r="O2" i="7"/>
  <c r="W5" i="9" l="1"/>
  <c r="X8" i="9"/>
  <c r="X13" i="9" s="1"/>
  <c r="Z26" i="9"/>
  <c r="AA29" i="9"/>
  <c r="AA34" i="9" s="1"/>
  <c r="AF64" i="9"/>
  <c r="AF69" i="9" s="1"/>
  <c r="AE61" i="9"/>
  <c r="AK99" i="9"/>
  <c r="AK104" i="9" s="1"/>
  <c r="AJ96" i="9"/>
  <c r="AG71" i="9"/>
  <c r="AG76" i="9" s="1"/>
  <c r="AF68" i="9"/>
  <c r="AB36" i="9"/>
  <c r="AB41" i="9" s="1"/>
  <c r="AA33" i="9"/>
  <c r="AC43" i="9"/>
  <c r="AC48" i="9" s="1"/>
  <c r="AB40" i="9"/>
  <c r="AD54" i="9"/>
  <c r="AE57" i="9"/>
  <c r="AE62" i="9" s="1"/>
  <c r="AD50" i="9"/>
  <c r="AD55" i="9" s="1"/>
  <c r="AC47" i="9"/>
  <c r="X12" i="9"/>
  <c r="Y15" i="9"/>
  <c r="Y20" i="9" s="1"/>
  <c r="AJ92" i="9"/>
  <c r="AJ97" i="9" s="1"/>
  <c r="AI89" i="9"/>
  <c r="Y19" i="9"/>
  <c r="Z22" i="9"/>
  <c r="Z27" i="9" s="1"/>
  <c r="AH82" i="9"/>
  <c r="AI85" i="9"/>
  <c r="AI90" i="9" s="1"/>
  <c r="AG75" i="9"/>
  <c r="AH78" i="9"/>
  <c r="AH83" i="9" s="1"/>
  <c r="AL106" i="9"/>
  <c r="AK103" i="9"/>
  <c r="O5" i="7"/>
  <c r="N2" i="7"/>
  <c r="N9" i="8"/>
  <c r="O12" i="8"/>
  <c r="Z33" i="9" l="1"/>
  <c r="AA36" i="9"/>
  <c r="AA41" i="9" s="1"/>
  <c r="AE64" i="9"/>
  <c r="AE69" i="9" s="1"/>
  <c r="AD61" i="9"/>
  <c r="AI92" i="9"/>
  <c r="AI97" i="9" s="1"/>
  <c r="AH89" i="9"/>
  <c r="AF71" i="9"/>
  <c r="AF76" i="9" s="1"/>
  <c r="AE68" i="9"/>
  <c r="AK106" i="9"/>
  <c r="AJ103" i="9"/>
  <c r="AG78" i="9"/>
  <c r="AG83" i="9" s="1"/>
  <c r="AF75" i="9"/>
  <c r="AD57" i="9"/>
  <c r="AD62" i="9" s="1"/>
  <c r="AC54" i="9"/>
  <c r="Y26" i="9"/>
  <c r="Z29" i="9"/>
  <c r="Z34" i="9" s="1"/>
  <c r="X19" i="9"/>
  <c r="Y22" i="9"/>
  <c r="Y27" i="9" s="1"/>
  <c r="AA40" i="9"/>
  <c r="AB43" i="9"/>
  <c r="AB48" i="9" s="1"/>
  <c r="AJ99" i="9"/>
  <c r="AJ104" i="9" s="1"/>
  <c r="AI96" i="9"/>
  <c r="AB47" i="9"/>
  <c r="AC50" i="9"/>
  <c r="AC55" i="9" s="1"/>
  <c r="AG82" i="9"/>
  <c r="AH85" i="9"/>
  <c r="AH90" i="9" s="1"/>
  <c r="X15" i="9"/>
  <c r="X20" i="9" s="1"/>
  <c r="W12" i="9"/>
  <c r="W8" i="9"/>
  <c r="W13" i="9" s="1"/>
  <c r="V5" i="9"/>
  <c r="N5" i="7"/>
  <c r="M2" i="7"/>
  <c r="N12" i="8"/>
  <c r="M9" i="8"/>
  <c r="AE75" i="9" l="1"/>
  <c r="AF78" i="9"/>
  <c r="AF83" i="9" s="1"/>
  <c r="AG89" i="9"/>
  <c r="AH92" i="9"/>
  <c r="AH97" i="9" s="1"/>
  <c r="V8" i="9"/>
  <c r="V13" i="9" s="1"/>
  <c r="U5" i="9"/>
  <c r="AA47" i="9"/>
  <c r="AB50" i="9"/>
  <c r="AB55" i="9" s="1"/>
  <c r="X22" i="9"/>
  <c r="X27" i="9" s="1"/>
  <c r="W19" i="9"/>
  <c r="W15" i="9"/>
  <c r="W20" i="9" s="1"/>
  <c r="V12" i="9"/>
  <c r="AI99" i="9"/>
  <c r="AI104" i="9" s="1"/>
  <c r="AH96" i="9"/>
  <c r="AJ106" i="9"/>
  <c r="AI103" i="9"/>
  <c r="AC61" i="9"/>
  <c r="AD64" i="9"/>
  <c r="AD69" i="9" s="1"/>
  <c r="X26" i="9"/>
  <c r="Y29" i="9"/>
  <c r="Y34" i="9" s="1"/>
  <c r="AC57" i="9"/>
  <c r="AC62" i="9" s="1"/>
  <c r="AB54" i="9"/>
  <c r="AE71" i="9"/>
  <c r="AE76" i="9" s="1"/>
  <c r="AD68" i="9"/>
  <c r="AG85" i="9"/>
  <c r="AG90" i="9" s="1"/>
  <c r="AF82" i="9"/>
  <c r="AA43" i="9"/>
  <c r="AA48" i="9" s="1"/>
  <c r="Z40" i="9"/>
  <c r="Z36" i="9"/>
  <c r="Z41" i="9" s="1"/>
  <c r="Y33" i="9"/>
  <c r="L2" i="7"/>
  <c r="M5" i="7"/>
  <c r="L9" i="8"/>
  <c r="M12" i="8"/>
  <c r="U12" i="9" l="1"/>
  <c r="V15" i="9"/>
  <c r="V20" i="9" s="1"/>
  <c r="U8" i="9"/>
  <c r="U13" i="9" s="1"/>
  <c r="T5" i="9"/>
  <c r="AB61" i="9"/>
  <c r="AC64" i="9"/>
  <c r="AC69" i="9" s="1"/>
  <c r="Y36" i="9"/>
  <c r="Y41" i="9" s="1"/>
  <c r="X33" i="9"/>
  <c r="Y40" i="9"/>
  <c r="Z43" i="9"/>
  <c r="Z48" i="9" s="1"/>
  <c r="AA54" i="9"/>
  <c r="AB57" i="9"/>
  <c r="AB62" i="9" s="1"/>
  <c r="AH103" i="9"/>
  <c r="AI106" i="9"/>
  <c r="V19" i="9"/>
  <c r="W22" i="9"/>
  <c r="W27" i="9" s="1"/>
  <c r="AC68" i="9"/>
  <c r="AD71" i="9"/>
  <c r="AD76" i="9" s="1"/>
  <c r="AF89" i="9"/>
  <c r="AG92" i="9"/>
  <c r="AG97" i="9" s="1"/>
  <c r="AE82" i="9"/>
  <c r="AF85" i="9"/>
  <c r="AF90" i="9" s="1"/>
  <c r="AH99" i="9"/>
  <c r="AH104" i="9" s="1"/>
  <c r="AG96" i="9"/>
  <c r="X29" i="9"/>
  <c r="X34" i="9" s="1"/>
  <c r="W26" i="9"/>
  <c r="Z47" i="9"/>
  <c r="AA50" i="9"/>
  <c r="AA55" i="9" s="1"/>
  <c r="AE78" i="9"/>
  <c r="AE83" i="9" s="1"/>
  <c r="AD75" i="9"/>
  <c r="L12" i="8"/>
  <c r="K9" i="8"/>
  <c r="L5" i="7"/>
  <c r="K2" i="7"/>
  <c r="AC71" i="9" l="1"/>
  <c r="AC76" i="9" s="1"/>
  <c r="AB68" i="9"/>
  <c r="Z54" i="9"/>
  <c r="AA57" i="9"/>
  <c r="AA62" i="9" s="1"/>
  <c r="AB64" i="9"/>
  <c r="AB69" i="9" s="1"/>
  <c r="AA61" i="9"/>
  <c r="AF96" i="9"/>
  <c r="AG99" i="9"/>
  <c r="AG104" i="9" s="1"/>
  <c r="S5" i="9"/>
  <c r="T8" i="9"/>
  <c r="T13" i="9" s="1"/>
  <c r="AD78" i="9"/>
  <c r="AD83" i="9" s="1"/>
  <c r="AC75" i="9"/>
  <c r="Y47" i="9"/>
  <c r="Z50" i="9"/>
  <c r="Z55" i="9" s="1"/>
  <c r="AE85" i="9"/>
  <c r="AE90" i="9" s="1"/>
  <c r="AD82" i="9"/>
  <c r="V22" i="9"/>
  <c r="V27" i="9" s="1"/>
  <c r="U19" i="9"/>
  <c r="Y43" i="9"/>
  <c r="Y48" i="9" s="1"/>
  <c r="X40" i="9"/>
  <c r="W29" i="9"/>
  <c r="W34" i="9" s="1"/>
  <c r="V26" i="9"/>
  <c r="X36" i="9"/>
  <c r="X41" i="9" s="1"/>
  <c r="W33" i="9"/>
  <c r="AE89" i="9"/>
  <c r="AF92" i="9"/>
  <c r="AF97" i="9" s="1"/>
  <c r="AH106" i="9"/>
  <c r="AG103" i="9"/>
  <c r="U15" i="9"/>
  <c r="U20" i="9" s="1"/>
  <c r="T12" i="9"/>
  <c r="J2" i="7"/>
  <c r="K5" i="7"/>
  <c r="K12" i="8"/>
  <c r="J9" i="8"/>
  <c r="U22" i="9" l="1"/>
  <c r="U27" i="9" s="1"/>
  <c r="T19" i="9"/>
  <c r="AB75" i="9"/>
  <c r="AC78" i="9"/>
  <c r="AC83" i="9" s="1"/>
  <c r="Z61" i="9"/>
  <c r="AA64" i="9"/>
  <c r="AA69" i="9" s="1"/>
  <c r="S12" i="9"/>
  <c r="T15" i="9"/>
  <c r="T20" i="9" s="1"/>
  <c r="U26" i="9"/>
  <c r="V29" i="9"/>
  <c r="V34" i="9" s="1"/>
  <c r="AD85" i="9"/>
  <c r="AD90" i="9" s="1"/>
  <c r="AC82" i="9"/>
  <c r="V33" i="9"/>
  <c r="W36" i="9"/>
  <c r="W41" i="9" s="1"/>
  <c r="AG106" i="9"/>
  <c r="AF103" i="9"/>
  <c r="R5" i="9"/>
  <c r="S8" i="9"/>
  <c r="S13" i="9" s="1"/>
  <c r="Y54" i="9"/>
  <c r="Z57" i="9"/>
  <c r="Z62" i="9" s="1"/>
  <c r="X43" i="9"/>
  <c r="X48" i="9" s="1"/>
  <c r="W40" i="9"/>
  <c r="AB71" i="9"/>
  <c r="AB76" i="9" s="1"/>
  <c r="AA68" i="9"/>
  <c r="AE92" i="9"/>
  <c r="AE97" i="9" s="1"/>
  <c r="AD89" i="9"/>
  <c r="Y50" i="9"/>
  <c r="Y55" i="9" s="1"/>
  <c r="X47" i="9"/>
  <c r="AF99" i="9"/>
  <c r="AF104" i="9" s="1"/>
  <c r="AE96" i="9"/>
  <c r="I9" i="8"/>
  <c r="J12" i="8"/>
  <c r="J5" i="7"/>
  <c r="I2" i="7"/>
  <c r="AB82" i="9" l="1"/>
  <c r="AC85" i="9"/>
  <c r="AC90" i="9" s="1"/>
  <c r="AE99" i="9"/>
  <c r="AE104" i="9" s="1"/>
  <c r="AD96" i="9"/>
  <c r="Q5" i="9"/>
  <c r="R8" i="9"/>
  <c r="R13" i="9" s="1"/>
  <c r="Y61" i="9"/>
  <c r="Z64" i="9"/>
  <c r="Z69" i="9" s="1"/>
  <c r="V40" i="9"/>
  <c r="W43" i="9"/>
  <c r="W48" i="9" s="1"/>
  <c r="AE103" i="9"/>
  <c r="AF106" i="9"/>
  <c r="T26" i="9"/>
  <c r="U29" i="9"/>
  <c r="U34" i="9" s="1"/>
  <c r="AA75" i="9"/>
  <c r="AB78" i="9"/>
  <c r="AB83" i="9" s="1"/>
  <c r="Z68" i="9"/>
  <c r="AA71" i="9"/>
  <c r="AA76" i="9" s="1"/>
  <c r="X50" i="9"/>
  <c r="X55" i="9" s="1"/>
  <c r="W47" i="9"/>
  <c r="AC89" i="9"/>
  <c r="AD92" i="9"/>
  <c r="AD97" i="9" s="1"/>
  <c r="T22" i="9"/>
  <c r="T27" i="9" s="1"/>
  <c r="S19" i="9"/>
  <c r="Y57" i="9"/>
  <c r="Y62" i="9" s="1"/>
  <c r="X54" i="9"/>
  <c r="U33" i="9"/>
  <c r="V36" i="9"/>
  <c r="V41" i="9" s="1"/>
  <c r="S15" i="9"/>
  <c r="S20" i="9" s="1"/>
  <c r="R12" i="9"/>
  <c r="I5" i="7"/>
  <c r="H2" i="7"/>
  <c r="I12" i="8"/>
  <c r="H9" i="8"/>
  <c r="R19" i="9" l="1"/>
  <c r="S22" i="9"/>
  <c r="S27" i="9" s="1"/>
  <c r="Z71" i="9"/>
  <c r="Z76" i="9" s="1"/>
  <c r="Y68" i="9"/>
  <c r="AE106" i="9"/>
  <c r="AD103" i="9"/>
  <c r="P5" i="9"/>
  <c r="Q8" i="9"/>
  <c r="Q13" i="9" s="1"/>
  <c r="AD99" i="9"/>
  <c r="AD104" i="9" s="1"/>
  <c r="AC96" i="9"/>
  <c r="U36" i="9"/>
  <c r="U41" i="9" s="1"/>
  <c r="T33" i="9"/>
  <c r="AC92" i="9"/>
  <c r="AC97" i="9" s="1"/>
  <c r="AB89" i="9"/>
  <c r="AA78" i="9"/>
  <c r="AA83" i="9" s="1"/>
  <c r="Z75" i="9"/>
  <c r="U40" i="9"/>
  <c r="V43" i="9"/>
  <c r="V48" i="9" s="1"/>
  <c r="Q12" i="9"/>
  <c r="R15" i="9"/>
  <c r="R20" i="9" s="1"/>
  <c r="X57" i="9"/>
  <c r="X62" i="9" s="1"/>
  <c r="W54" i="9"/>
  <c r="W50" i="9"/>
  <c r="W55" i="9" s="1"/>
  <c r="V47" i="9"/>
  <c r="S26" i="9"/>
  <c r="T29" i="9"/>
  <c r="T34" i="9" s="1"/>
  <c r="X61" i="9"/>
  <c r="Y64" i="9"/>
  <c r="Y69" i="9" s="1"/>
  <c r="AB85" i="9"/>
  <c r="AB90" i="9" s="1"/>
  <c r="AA82" i="9"/>
  <c r="H12" i="8"/>
  <c r="B1" i="8" s="1"/>
  <c r="B10" i="2" s="1"/>
  <c r="G9" i="8"/>
  <c r="G2" i="7"/>
  <c r="B17" i="2" s="1"/>
  <c r="H5" i="7"/>
  <c r="B1" i="7" s="1"/>
  <c r="B9" i="2" s="1"/>
  <c r="U47" i="9" l="1"/>
  <c r="V50" i="9"/>
  <c r="V55" i="9" s="1"/>
  <c r="T36" i="9"/>
  <c r="T41" i="9" s="1"/>
  <c r="S33" i="9"/>
  <c r="AD106" i="9"/>
  <c r="AC103" i="9"/>
  <c r="Z82" i="9"/>
  <c r="AA85" i="9"/>
  <c r="AA90" i="9" s="1"/>
  <c r="T40" i="9"/>
  <c r="U43" i="9"/>
  <c r="U48" i="9" s="1"/>
  <c r="W57" i="9"/>
  <c r="W62" i="9" s="1"/>
  <c r="V54" i="9"/>
  <c r="Z78" i="9"/>
  <c r="Z83" i="9" s="1"/>
  <c r="Y75" i="9"/>
  <c r="AB96" i="9"/>
  <c r="AC99" i="9"/>
  <c r="AC104" i="9" s="1"/>
  <c r="X68" i="9"/>
  <c r="Y71" i="9"/>
  <c r="Y76" i="9" s="1"/>
  <c r="X64" i="9"/>
  <c r="X69" i="9" s="1"/>
  <c r="W61" i="9"/>
  <c r="AA89" i="9"/>
  <c r="AB92" i="9"/>
  <c r="AB97" i="9" s="1"/>
  <c r="S29" i="9"/>
  <c r="S34" i="9" s="1"/>
  <c r="R26" i="9"/>
  <c r="P12" i="9"/>
  <c r="Q15" i="9"/>
  <c r="Q20" i="9" s="1"/>
  <c r="R22" i="9"/>
  <c r="R27" i="9" s="1"/>
  <c r="Q19" i="9"/>
  <c r="V57" i="9" l="1"/>
  <c r="V62" i="9" s="1"/>
  <c r="U54" i="9"/>
  <c r="AC106" i="9"/>
  <c r="AB103" i="9"/>
  <c r="Q22" i="9"/>
  <c r="Q27" i="9" s="1"/>
  <c r="P19" i="9"/>
  <c r="X71" i="9"/>
  <c r="X76" i="9" s="1"/>
  <c r="W68" i="9"/>
  <c r="Z89" i="9"/>
  <c r="AA92" i="9"/>
  <c r="AA97" i="9" s="1"/>
  <c r="S36" i="9"/>
  <c r="S41" i="9" s="1"/>
  <c r="R33" i="9"/>
  <c r="W64" i="9"/>
  <c r="W69" i="9" s="1"/>
  <c r="V61" i="9"/>
  <c r="AA96" i="9"/>
  <c r="AB99" i="9"/>
  <c r="AB104" i="9" s="1"/>
  <c r="S40" i="9"/>
  <c r="T43" i="9"/>
  <c r="T48" i="9" s="1"/>
  <c r="X75" i="9"/>
  <c r="Y78" i="9"/>
  <c r="Y83" i="9" s="1"/>
  <c r="R29" i="9"/>
  <c r="R34" i="9" s="1"/>
  <c r="Q26" i="9"/>
  <c r="Z85" i="9"/>
  <c r="Z90" i="9" s="1"/>
  <c r="Y82" i="9"/>
  <c r="T47" i="9"/>
  <c r="U50" i="9"/>
  <c r="U55" i="9" s="1"/>
  <c r="Y85" i="9" l="1"/>
  <c r="Y90" i="9" s="1"/>
  <c r="X82" i="9"/>
  <c r="R36" i="9"/>
  <c r="R41" i="9" s="1"/>
  <c r="Q33" i="9"/>
  <c r="AA103" i="9"/>
  <c r="AB106" i="9"/>
  <c r="P26" i="9"/>
  <c r="Q29" i="9"/>
  <c r="Q34" i="9" s="1"/>
  <c r="AA99" i="9"/>
  <c r="AA104" i="9" s="1"/>
  <c r="Z96" i="9"/>
  <c r="Z92" i="9"/>
  <c r="Z97" i="9" s="1"/>
  <c r="Y89" i="9"/>
  <c r="S43" i="9"/>
  <c r="S48" i="9" s="1"/>
  <c r="R40" i="9"/>
  <c r="V64" i="9"/>
  <c r="V69" i="9" s="1"/>
  <c r="U61" i="9"/>
  <c r="W71" i="9"/>
  <c r="W76" i="9" s="1"/>
  <c r="V68" i="9"/>
  <c r="T54" i="9"/>
  <c r="U57" i="9"/>
  <c r="U62" i="9" s="1"/>
  <c r="S47" i="9"/>
  <c r="T50" i="9"/>
  <c r="T55" i="9" s="1"/>
  <c r="W75" i="9"/>
  <c r="X78" i="9"/>
  <c r="X83" i="9" s="1"/>
  <c r="S54" i="9" l="1"/>
  <c r="T57" i="9"/>
  <c r="T62" i="9" s="1"/>
  <c r="X89" i="9"/>
  <c r="Y92" i="9"/>
  <c r="Y97" i="9" s="1"/>
  <c r="Z103" i="9"/>
  <c r="AA106" i="9"/>
  <c r="W78" i="9"/>
  <c r="W83" i="9" s="1"/>
  <c r="V75" i="9"/>
  <c r="T61" i="9"/>
  <c r="U64" i="9"/>
  <c r="U69" i="9" s="1"/>
  <c r="Z99" i="9"/>
  <c r="Z104" i="9" s="1"/>
  <c r="Y96" i="9"/>
  <c r="Q36" i="9"/>
  <c r="Q41" i="9" s="1"/>
  <c r="P33" i="9"/>
  <c r="V71" i="9"/>
  <c r="V76" i="9" s="1"/>
  <c r="U68" i="9"/>
  <c r="S50" i="9"/>
  <c r="S55" i="9" s="1"/>
  <c r="R47" i="9"/>
  <c r="R43" i="9"/>
  <c r="R48" i="9" s="1"/>
  <c r="Q40" i="9"/>
  <c r="X85" i="9"/>
  <c r="X90" i="9" s="1"/>
  <c r="W82" i="9"/>
  <c r="X96" i="9" l="1"/>
  <c r="Y99" i="9"/>
  <c r="Y104" i="9" s="1"/>
  <c r="Y103" i="9"/>
  <c r="Z106" i="9"/>
  <c r="W85" i="9"/>
  <c r="W90" i="9" s="1"/>
  <c r="V82" i="9"/>
  <c r="U71" i="9"/>
  <c r="U76" i="9" s="1"/>
  <c r="T68" i="9"/>
  <c r="T64" i="9"/>
  <c r="T69" i="9" s="1"/>
  <c r="S61" i="9"/>
  <c r="X92" i="9"/>
  <c r="X97" i="9" s="1"/>
  <c r="W89" i="9"/>
  <c r="Q43" i="9"/>
  <c r="Q48" i="9" s="1"/>
  <c r="P40" i="9"/>
  <c r="V78" i="9"/>
  <c r="V83" i="9" s="1"/>
  <c r="U75" i="9"/>
  <c r="R50" i="9"/>
  <c r="R55" i="9" s="1"/>
  <c r="Q47" i="9"/>
  <c r="S57" i="9"/>
  <c r="S62" i="9" s="1"/>
  <c r="R54" i="9"/>
  <c r="Q50" i="9" l="1"/>
  <c r="Q55" i="9" s="1"/>
  <c r="P47" i="9"/>
  <c r="U82" i="9"/>
  <c r="V85" i="9"/>
  <c r="V90" i="9" s="1"/>
  <c r="W92" i="9"/>
  <c r="W97" i="9" s="1"/>
  <c r="V89" i="9"/>
  <c r="S64" i="9"/>
  <c r="S69" i="9" s="1"/>
  <c r="R61" i="9"/>
  <c r="Y106" i="9"/>
  <c r="X103" i="9"/>
  <c r="T75" i="9"/>
  <c r="U78" i="9"/>
  <c r="U83" i="9" s="1"/>
  <c r="R57" i="9"/>
  <c r="R62" i="9" s="1"/>
  <c r="Q54" i="9"/>
  <c r="S68" i="9"/>
  <c r="T71" i="9"/>
  <c r="T76" i="9" s="1"/>
  <c r="X99" i="9"/>
  <c r="X104" i="9" s="1"/>
  <c r="W96" i="9"/>
  <c r="U89" i="9" l="1"/>
  <c r="V92" i="9"/>
  <c r="V97" i="9" s="1"/>
  <c r="X106" i="9"/>
  <c r="W103" i="9"/>
  <c r="T82" i="9"/>
  <c r="U85" i="9"/>
  <c r="U90" i="9" s="1"/>
  <c r="R68" i="9"/>
  <c r="S71" i="9"/>
  <c r="S76" i="9" s="1"/>
  <c r="Q57" i="9"/>
  <c r="Q62" i="9" s="1"/>
  <c r="P54" i="9"/>
  <c r="R64" i="9"/>
  <c r="R69" i="9" s="1"/>
  <c r="Q61" i="9"/>
  <c r="W99" i="9"/>
  <c r="W104" i="9" s="1"/>
  <c r="V96" i="9"/>
  <c r="T78" i="9"/>
  <c r="T83" i="9" s="1"/>
  <c r="S75" i="9"/>
  <c r="T85" i="9" l="1"/>
  <c r="T90" i="9" s="1"/>
  <c r="S82" i="9"/>
  <c r="W106" i="9"/>
  <c r="V103" i="9"/>
  <c r="S78" i="9"/>
  <c r="S83" i="9" s="1"/>
  <c r="R75" i="9"/>
  <c r="P61" i="9"/>
  <c r="Q64" i="9"/>
  <c r="Q69" i="9" s="1"/>
  <c r="U96" i="9"/>
  <c r="V99" i="9"/>
  <c r="V104" i="9" s="1"/>
  <c r="R71" i="9"/>
  <c r="R76" i="9" s="1"/>
  <c r="Q68" i="9"/>
  <c r="U92" i="9"/>
  <c r="U97" i="9" s="1"/>
  <c r="T89" i="9"/>
  <c r="U103" i="9" l="1"/>
  <c r="V106" i="9"/>
  <c r="Q71" i="9"/>
  <c r="Q76" i="9" s="1"/>
  <c r="P68" i="9"/>
  <c r="S89" i="9"/>
  <c r="T92" i="9"/>
  <c r="T97" i="9" s="1"/>
  <c r="S85" i="9"/>
  <c r="S90" i="9" s="1"/>
  <c r="R82" i="9"/>
  <c r="R78" i="9"/>
  <c r="R83" i="9" s="1"/>
  <c r="Q75" i="9"/>
  <c r="T96" i="9"/>
  <c r="U99" i="9"/>
  <c r="U104" i="9" s="1"/>
  <c r="R89" i="9" l="1"/>
  <c r="S92" i="9"/>
  <c r="S97" i="9" s="1"/>
  <c r="Q78" i="9"/>
  <c r="Q83" i="9" s="1"/>
  <c r="P75" i="9"/>
  <c r="T99" i="9"/>
  <c r="T104" i="9" s="1"/>
  <c r="S96" i="9"/>
  <c r="R85" i="9"/>
  <c r="R90" i="9" s="1"/>
  <c r="Q82" i="9"/>
  <c r="T103" i="9"/>
  <c r="U106" i="9"/>
  <c r="S99" i="9" l="1"/>
  <c r="S104" i="9" s="1"/>
  <c r="R96" i="9"/>
  <c r="P82" i="9"/>
  <c r="Q85" i="9"/>
  <c r="Q90" i="9" s="1"/>
  <c r="T106" i="9"/>
  <c r="S103" i="9"/>
  <c r="R92" i="9"/>
  <c r="R97" i="9" s="1"/>
  <c r="Q89" i="9"/>
  <c r="S106" i="9" l="1"/>
  <c r="R103" i="9"/>
  <c r="Q92" i="9"/>
  <c r="Q97" i="9" s="1"/>
  <c r="P89" i="9"/>
  <c r="R99" i="9"/>
  <c r="R104" i="9" s="1"/>
  <c r="Q96" i="9"/>
  <c r="Q99" i="9" l="1"/>
  <c r="Q104" i="9" s="1"/>
  <c r="P96" i="9"/>
  <c r="R106" i="9"/>
  <c r="Q103" i="9"/>
  <c r="P103" i="9" l="1"/>
  <c r="Q106" i="9"/>
  <c r="B1" i="9" s="1"/>
  <c r="B11" i="2" s="1"/>
  <c r="B14" i="2" s="1"/>
  <c r="B1" i="6" l="1"/>
  <c r="D22" i="6" l="1"/>
  <c r="H22" i="6" s="1"/>
  <c r="D13" i="6"/>
  <c r="H13" i="6" s="1"/>
  <c r="D19" i="6"/>
  <c r="H19" i="6" s="1"/>
  <c r="D21" i="6"/>
  <c r="H21" i="6" s="1"/>
  <c r="D11" i="6"/>
  <c r="H11" i="6" s="1"/>
  <c r="D32" i="6"/>
  <c r="H32" i="6" s="1"/>
  <c r="D23" i="6"/>
  <c r="H23" i="6" s="1"/>
  <c r="D25" i="6"/>
  <c r="H25" i="6" s="1"/>
  <c r="D31" i="6"/>
  <c r="H31" i="6" s="1"/>
  <c r="D8" i="6"/>
  <c r="H8" i="6" s="1"/>
  <c r="D15" i="6"/>
  <c r="H15" i="6" s="1"/>
  <c r="D30" i="6"/>
  <c r="H30" i="6" s="1"/>
  <c r="D20" i="6"/>
  <c r="H20" i="6" s="1"/>
  <c r="D12" i="6"/>
  <c r="H12" i="6" s="1"/>
  <c r="D6" i="6"/>
  <c r="H6" i="6" s="1"/>
  <c r="D2" i="6"/>
  <c r="H2" i="6" s="1"/>
  <c r="D17" i="6"/>
  <c r="H17" i="6" s="1"/>
  <c r="D27" i="6"/>
  <c r="H27" i="6" s="1"/>
  <c r="D16" i="6"/>
  <c r="H16" i="6" s="1"/>
  <c r="D3" i="6"/>
  <c r="H3" i="6" s="1"/>
  <c r="D24" i="6"/>
  <c r="H24" i="6" s="1"/>
  <c r="D14" i="6"/>
  <c r="H14" i="6" s="1"/>
  <c r="D4" i="6"/>
  <c r="H4" i="6" s="1"/>
  <c r="D29" i="6"/>
  <c r="H29" i="6" s="1"/>
  <c r="D33" i="6"/>
  <c r="H33" i="6" s="1"/>
  <c r="D10" i="6"/>
  <c r="H10" i="6" s="1"/>
  <c r="D18" i="6"/>
  <c r="H18" i="6" s="1"/>
  <c r="D28" i="6"/>
  <c r="H28" i="6" s="1"/>
  <c r="D7" i="6"/>
  <c r="H7" i="6" s="1"/>
  <c r="D26" i="6"/>
  <c r="H26" i="6" s="1"/>
  <c r="D9" i="6"/>
  <c r="H9" i="6" s="1"/>
  <c r="D5" i="6"/>
  <c r="H5" i="6" s="1"/>
  <c r="B3" i="6" l="1"/>
  <c r="B15" i="2" s="1"/>
  <c r="C1" i="1" s="1"/>
</calcChain>
</file>

<file path=xl/sharedStrings.xml><?xml version="1.0" encoding="utf-8"?>
<sst xmlns="http://schemas.openxmlformats.org/spreadsheetml/2006/main" count="55" uniqueCount="38">
  <si>
    <t>RIGA_CALCOLO</t>
  </si>
  <si>
    <t>PRIMO_TERMINE</t>
  </si>
  <si>
    <t>SECONDO_TERMINE</t>
  </si>
  <si>
    <t>SEGNO_DI_ELABORAZIONE</t>
  </si>
  <si>
    <t>VALORE_1_BIT</t>
  </si>
  <si>
    <t>VALORE_2_BIT</t>
  </si>
  <si>
    <t>RISULTATO_ADDIZIONE</t>
  </si>
  <si>
    <t>RISULTATO_SOTTRAZIONE</t>
  </si>
  <si>
    <t>RISULTATO_MOLTIPLICAZIONE</t>
  </si>
  <si>
    <t>RISULTATO_DIVISIONE</t>
  </si>
  <si>
    <t>RISULTATO_BINARIO</t>
  </si>
  <si>
    <t>RISULTATO_DECIMALE</t>
  </si>
  <si>
    <t>VALORE_1_SINGOLA_CIFRA</t>
  </si>
  <si>
    <t>VALORE_2_SINGOLA_CIFRA</t>
  </si>
  <si>
    <t>NUMERO=</t>
  </si>
  <si>
    <t>NUMERO</t>
  </si>
  <si>
    <t>DIVISORE</t>
  </si>
  <si>
    <t>RESTO</t>
  </si>
  <si>
    <t>POSIZIONE CIFRA</t>
  </si>
  <si>
    <t>RISULTATO_CONVERSIONE_PRIMO_VALORE</t>
  </si>
  <si>
    <t>RISULTATO</t>
  </si>
  <si>
    <t>RIPORTO</t>
  </si>
  <si>
    <t>VALORE 1</t>
  </si>
  <si>
    <t>VALORE 2</t>
  </si>
  <si>
    <t>SOMMA 1</t>
  </si>
  <si>
    <t>RISULTATO CA2</t>
  </si>
  <si>
    <t>PROSSIMAMENTE</t>
  </si>
  <si>
    <t>NUMERO INTERO</t>
  </si>
  <si>
    <t>ESTRAZIONE</t>
  </si>
  <si>
    <t>BASE</t>
  </si>
  <si>
    <t>PRODOTTO</t>
  </si>
  <si>
    <t>RISULTATO=</t>
  </si>
  <si>
    <t>=</t>
  </si>
  <si>
    <t>VALORE 1=</t>
  </si>
  <si>
    <t>VALORE 2=</t>
  </si>
  <si>
    <t>OVERFLOW ADDIZIONE</t>
  </si>
  <si>
    <t>OVERFLOW SOTTRAZIONE</t>
  </si>
  <si>
    <t>OVERFLOW MOLTIPLICAZIONE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</si>
</sst>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72"/>
      <color rgb="FF3F3F76"/>
      <name val="Calibri"/>
      <family val="2"/>
      <scheme val="minor"/>
    </font>
    <font>
      <sz val="72"/>
      <color rgb="FF9C0006"/>
      <name val="Calibri"/>
      <family val="2"/>
      <scheme val="minor"/>
    </font>
    <font>
      <b/>
      <sz val="72"/>
      <color rgb="FF3F3F3F"/>
      <name val="Calibri"/>
      <family val="2"/>
      <scheme val="minor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6" fillId="0" borderId="0" applyNumberFormat="0" applyFill="0" applyBorder="0" applyAlignment="0" applyProtection="0"/>
    <xf numFmtId="0" fontId="1" fillId="5" borderId="3" applyNumberFormat="0" applyFont="0" applyAlignment="0" applyProtection="0"/>
    <xf numFmtId="0" fontId="1" fillId="6" borderId="0" applyNumberFormat="0" applyBorder="0" applyAlignment="0" applyProtection="0"/>
    <xf numFmtId="0" fontId="10" fillId="7" borderId="0" applyNumberFormat="0" applyBorder="0" applyAlignment="0" applyProtection="0"/>
  </cellStyleXfs>
  <cellXfs count="24">
    <xf numFmtId="0" fontId="0" fillId="0" borderId="0" xfId="0"/>
    <xf numFmtId="0" fontId="0" fillId="5" borderId="3" xfId="6" applyFont="1"/>
    <xf numFmtId="2" fontId="0" fillId="5" borderId="3" xfId="6" applyNumberFormat="1" applyFont="1" applyAlignment="1">
      <alignment horizontal="left"/>
    </xf>
    <xf numFmtId="0" fontId="0" fillId="5" borderId="3" xfId="6" applyFont="1" applyAlignment="1">
      <alignment horizontal="left"/>
    </xf>
    <xf numFmtId="0" fontId="0" fillId="0" borderId="0" xfId="0" applyAlignment="1">
      <alignment horizontal="left"/>
    </xf>
    <xf numFmtId="1" fontId="0" fillId="5" borderId="3" xfId="6" applyNumberFormat="1" applyFont="1" applyAlignment="1">
      <alignment horizontal="left"/>
    </xf>
    <xf numFmtId="0" fontId="0" fillId="0" borderId="0" xfId="0" quotePrefix="1"/>
    <xf numFmtId="2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" fontId="5" fillId="5" borderId="3" xfId="6" applyNumberFormat="1" applyFont="1"/>
    <xf numFmtId="1" fontId="2" fillId="2" borderId="0" xfId="1" applyNumberFormat="1"/>
    <xf numFmtId="1" fontId="1" fillId="6" borderId="0" xfId="7" applyNumberFormat="1"/>
    <xf numFmtId="1" fontId="6" fillId="0" borderId="0" xfId="5" applyNumberFormat="1"/>
    <xf numFmtId="1" fontId="5" fillId="4" borderId="1" xfId="4" applyNumberFormat="1"/>
    <xf numFmtId="1" fontId="0" fillId="5" borderId="3" xfId="6" applyNumberFormat="1" applyFont="1"/>
    <xf numFmtId="0" fontId="0" fillId="0" borderId="0" xfId="0" applyNumberFormat="1"/>
    <xf numFmtId="0" fontId="0" fillId="5" borderId="3" xfId="6" applyNumberFormat="1" applyFont="1" applyAlignment="1">
      <alignment horizontal="left"/>
    </xf>
    <xf numFmtId="0" fontId="8" fillId="5" borderId="3" xfId="6" applyFont="1"/>
    <xf numFmtId="49" fontId="7" fillId="3" borderId="1" xfId="2" applyNumberFormat="1" applyFont="1"/>
    <xf numFmtId="0" fontId="10" fillId="7" borderId="0" xfId="8"/>
    <xf numFmtId="1" fontId="9" fillId="4" borderId="2" xfId="3" applyNumberFormat="1" applyFont="1"/>
    <xf numFmtId="16" fontId="0" fillId="0" borderId="0" xfId="0" applyNumberFormat="1"/>
  </cellXfs>
  <cellStyles count="9">
    <cellStyle name="20% - Colore 1" xfId="7" builtinId="30"/>
    <cellStyle name="Calcolo" xfId="4" builtinId="22"/>
    <cellStyle name="Input" xfId="2" builtinId="20"/>
    <cellStyle name="Normale" xfId="0" builtinId="0"/>
    <cellStyle name="Nota" xfId="6" builtinId="10"/>
    <cellStyle name="Output" xfId="3" builtinId="21"/>
    <cellStyle name="Testo avviso" xfId="5" builtinId="11"/>
    <cellStyle name="Valore non valido" xfId="8" builtinId="27"/>
    <cellStyle name="Valore valido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2</xdr:row>
      <xdr:rowOff>123825</xdr:rowOff>
    </xdr:from>
    <xdr:to>
      <xdr:col>0</xdr:col>
      <xdr:colOff>1895475</xdr:colOff>
      <xdr:row>8</xdr:row>
      <xdr:rowOff>138113</xdr:rowOff>
    </xdr:to>
    <xdr:pic macro="[0]!Canc">
      <xdr:nvPicPr>
        <xdr:cNvPr id="4" name="Immagine 3">
          <a:extLst>
            <a:ext uri="{FF2B5EF4-FFF2-40B4-BE49-F238E27FC236}">
              <a16:creationId xmlns:a16="http://schemas.microsoft.com/office/drawing/2014/main" id="{2C8402C4-5951-4B4C-8E40-82392AB5E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875" y="1485900"/>
          <a:ext cx="1371600" cy="115728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C2"/>
  <sheetViews>
    <sheetView showGridLines="0" tabSelected="1" workbookViewId="0">
      <selection activeCell="C12" sqref="C12"/>
    </sheetView>
  </sheetViews>
  <sheetFormatPr defaultRowHeight="15" x14ac:dyDescent="0.25"/>
  <cols>
    <col min="1" max="1" width="87.85546875" bestFit="1" customWidth="1"/>
    <col min="2" max="2" width="11" bestFit="1" customWidth="1"/>
    <col min="3" max="3" width="100.42578125" bestFit="1" customWidth="1"/>
  </cols>
  <sheetData>
    <row r="1" spans="1:3" ht="92.25" x14ac:dyDescent="1.35">
      <c r="A1" s="20"/>
      <c r="B1" s="19" t="s">
        <v>32</v>
      </c>
      <c r="C1" s="22" t="str">
        <f>IF(AND('Interfaccia-macchina'!B4="+",'Interfaccia-macchina'!B17=0),'Interfaccia-macchina'!B15,IF(AND('Interfaccia-macchina'!B4="-",'Interfaccia-macchina'!B18="0"),'Interfaccia-macchina'!B15,IF(AND('Interfaccia-macchina'!B4="*",'Interfaccia-macchina'!B19=0),'Interfaccia-macchina'!B15,IF(A1="","","Math Error"))))</f>
        <v/>
      </c>
    </row>
    <row r="2" spans="1:3" x14ac:dyDescent="0.25">
      <c r="A2" s="23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5339-288B-420A-A9E3-207AA33EE550}">
  <sheetPr codeName="Foglio2"/>
  <dimension ref="A1:B20"/>
  <sheetViews>
    <sheetView workbookViewId="0">
      <selection activeCell="B19" sqref="B19"/>
    </sheetView>
  </sheetViews>
  <sheetFormatPr defaultRowHeight="15" x14ac:dyDescent="0.25"/>
  <cols>
    <col min="1" max="1" width="28.140625" bestFit="1" customWidth="1"/>
    <col min="2" max="2" width="33.85546875" bestFit="1" customWidth="1"/>
  </cols>
  <sheetData>
    <row r="1" spans="1:2" x14ac:dyDescent="0.25">
      <c r="A1" s="1" t="s">
        <v>0</v>
      </c>
      <c r="B1" s="2">
        <f>'Interfaccia-utente'!A1</f>
        <v>0</v>
      </c>
    </row>
    <row r="2" spans="1:2" x14ac:dyDescent="0.25">
      <c r="A2" s="1" t="s">
        <v>1</v>
      </c>
      <c r="B2" s="2" t="str">
        <f>IFERROR((LEFT(B1,FIND("+",B1)-1)),IFERROR((LEFT(B1,FIND("*",B1)-1)),IFERROR((LEFT(B1,FIND("/",B1)-1)),IFERROR((LEFT(B1,FIND("-",B1)-1)),"0"))))</f>
        <v>0</v>
      </c>
    </row>
    <row r="3" spans="1:2" x14ac:dyDescent="0.25">
      <c r="A3" s="1" t="s">
        <v>2</v>
      </c>
      <c r="B3" s="3">
        <f>IFERROR(RIGHT(B1,LEN(B1)-FIND("+",B1)),IFERROR(RIGHT(B1,LEN(B1)-FIND("-",B1)),IFERROR(RIGHT(B1,LEN(B1)-FIND("*",B1)),IFERROR(RIGHT(B1,LEN(B1)-FIND("/",B1)),))))</f>
        <v>0</v>
      </c>
    </row>
    <row r="4" spans="1:2" x14ac:dyDescent="0.25">
      <c r="A4" s="1" t="s">
        <v>3</v>
      </c>
      <c r="B4" s="3">
        <f>IFERROR(IF(FIND("+",B1),"+",),IFERROR(IF(FIND("-",B1),"-",),IFERROR(IF(FIND("*",B1),"*",),IFERROR(IF(FIND("/",B1),"/",),0))))</f>
        <v>0</v>
      </c>
    </row>
    <row r="5" spans="1:2" x14ac:dyDescent="0.25">
      <c r="B5" s="4"/>
    </row>
    <row r="6" spans="1:2" x14ac:dyDescent="0.25">
      <c r="A6" s="1" t="s">
        <v>4</v>
      </c>
      <c r="B6" s="3" t="str">
        <f>'Conversione-valore-1'!B3</f>
        <v>00000000000000000000000000000000</v>
      </c>
    </row>
    <row r="7" spans="1:2" x14ac:dyDescent="0.25">
      <c r="A7" s="1" t="s">
        <v>5</v>
      </c>
      <c r="B7" s="3" t="str">
        <f>'Conversione-valore-2'!B3</f>
        <v>00000000000000000000000000000000</v>
      </c>
    </row>
    <row r="8" spans="1:2" x14ac:dyDescent="0.25">
      <c r="B8" s="4"/>
    </row>
    <row r="9" spans="1:2" x14ac:dyDescent="0.25">
      <c r="A9" s="1" t="s">
        <v>6</v>
      </c>
      <c r="B9" s="3" t="str">
        <f>Addizione!B1</f>
        <v>00000000000000000000000000000000</v>
      </c>
    </row>
    <row r="10" spans="1:2" x14ac:dyDescent="0.25">
      <c r="A10" s="1" t="s">
        <v>7</v>
      </c>
      <c r="B10" s="3" t="str">
        <f>Sottrazione!B1</f>
        <v>00000000000000000000000000000000</v>
      </c>
    </row>
    <row r="11" spans="1:2" x14ac:dyDescent="0.25">
      <c r="A11" s="1" t="s">
        <v>8</v>
      </c>
      <c r="B11" s="3" t="str">
        <f>Moltiplicazione!B1</f>
        <v>00000000000000000000000000000000</v>
      </c>
    </row>
    <row r="12" spans="1:2" x14ac:dyDescent="0.25">
      <c r="A12" s="1" t="s">
        <v>9</v>
      </c>
      <c r="B12" s="5" t="s">
        <v>26</v>
      </c>
    </row>
    <row r="13" spans="1:2" x14ac:dyDescent="0.25">
      <c r="B13" s="4"/>
    </row>
    <row r="14" spans="1:2" x14ac:dyDescent="0.25">
      <c r="A14" s="1" t="s">
        <v>10</v>
      </c>
      <c r="B14" s="3" t="str">
        <f>IF(B4="+",B9,IF(B4="-",B10,IF(B4="*",B11,IF(B4="/","","QUALCOSA NON VA"))))</f>
        <v>QUALCOSA NON VA</v>
      </c>
    </row>
    <row r="15" spans="1:2" x14ac:dyDescent="0.25">
      <c r="A15" s="1" t="s">
        <v>11</v>
      </c>
      <c r="B15" s="5" t="e">
        <f>'Coversione-risualtato'!B3</f>
        <v>#VALUE!</v>
      </c>
    </row>
    <row r="16" spans="1:2" x14ac:dyDescent="0.25">
      <c r="B16" s="4"/>
    </row>
    <row r="17" spans="1:2" x14ac:dyDescent="0.25">
      <c r="A17" s="1" t="s">
        <v>35</v>
      </c>
      <c r="B17" s="18">
        <f>IF(Addizione!G2=1,1,0)</f>
        <v>0</v>
      </c>
    </row>
    <row r="18" spans="1:2" x14ac:dyDescent="0.25">
      <c r="A18" s="1" t="s">
        <v>36</v>
      </c>
      <c r="B18" s="3" t="str">
        <f>IF((B2-B3)&gt;0,"0","1")</f>
        <v>1</v>
      </c>
    </row>
    <row r="19" spans="1:2" x14ac:dyDescent="0.25">
      <c r="A19" s="1" t="s">
        <v>37</v>
      </c>
      <c r="B19" s="3">
        <f>IF(OR('Conversione-valore-1'!E18&lt;&gt;0,'Conversione-valore-2'!E18&lt;&gt;0),1,0)</f>
        <v>0</v>
      </c>
    </row>
    <row r="20" spans="1:2" x14ac:dyDescent="0.25">
      <c r="B20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99FE-295D-492C-B456-1F8A5648870C}">
  <sheetPr codeName="Foglio3"/>
  <dimension ref="A1:AW3"/>
  <sheetViews>
    <sheetView zoomScale="80" zoomScaleNormal="80" workbookViewId="0">
      <selection activeCell="B1" sqref="B1"/>
    </sheetView>
  </sheetViews>
  <sheetFormatPr defaultRowHeight="15" x14ac:dyDescent="0.25"/>
  <cols>
    <col min="1" max="1" width="10.42578125" bestFit="1" customWidth="1"/>
    <col min="2" max="2" width="36.5703125" bestFit="1" customWidth="1"/>
    <col min="9" max="9" width="25.5703125" bestFit="1" customWidth="1"/>
  </cols>
  <sheetData>
    <row r="1" spans="1:49" x14ac:dyDescent="0.25">
      <c r="A1" t="s">
        <v>33</v>
      </c>
      <c r="B1" s="6" t="str">
        <f>'Conversione-valore-1'!B3</f>
        <v>00000000000000000000000000000000</v>
      </c>
      <c r="G1" s="7"/>
      <c r="I1" s="7"/>
      <c r="J1" s="8">
        <v>1</v>
      </c>
      <c r="K1" s="8">
        <v>2</v>
      </c>
      <c r="L1" s="8">
        <v>3</v>
      </c>
      <c r="M1" s="8">
        <v>4</v>
      </c>
      <c r="N1" s="8">
        <v>5</v>
      </c>
      <c r="O1" s="8">
        <v>6</v>
      </c>
      <c r="P1" s="8">
        <v>7</v>
      </c>
      <c r="Q1" s="8">
        <v>8</v>
      </c>
      <c r="R1" s="8">
        <v>9</v>
      </c>
      <c r="S1" s="8">
        <v>10</v>
      </c>
      <c r="T1" s="8">
        <v>11</v>
      </c>
      <c r="U1" s="8">
        <v>12</v>
      </c>
      <c r="V1" s="8">
        <v>13</v>
      </c>
      <c r="W1" s="8">
        <v>14</v>
      </c>
      <c r="X1" s="8">
        <v>15</v>
      </c>
      <c r="Y1" s="8">
        <v>16</v>
      </c>
      <c r="Z1" s="8">
        <v>17</v>
      </c>
      <c r="AA1" s="8">
        <v>18</v>
      </c>
      <c r="AB1" s="8">
        <v>19</v>
      </c>
      <c r="AC1" s="8">
        <v>20</v>
      </c>
      <c r="AD1" s="8">
        <v>21</v>
      </c>
      <c r="AE1" s="8">
        <v>22</v>
      </c>
      <c r="AF1" s="8">
        <v>23</v>
      </c>
      <c r="AG1" s="8">
        <v>24</v>
      </c>
      <c r="AH1" s="8">
        <v>25</v>
      </c>
      <c r="AI1" s="8">
        <v>26</v>
      </c>
      <c r="AJ1" s="8">
        <v>27</v>
      </c>
      <c r="AK1" s="8">
        <v>28</v>
      </c>
      <c r="AL1" s="8">
        <v>29</v>
      </c>
      <c r="AM1" s="8">
        <v>30</v>
      </c>
      <c r="AN1" s="8">
        <v>31</v>
      </c>
      <c r="AO1" s="8">
        <v>32</v>
      </c>
      <c r="AP1" s="8"/>
      <c r="AQ1" s="8"/>
      <c r="AR1" s="8"/>
      <c r="AS1" s="8"/>
      <c r="AT1" s="8"/>
      <c r="AU1" s="8"/>
      <c r="AV1" s="8"/>
      <c r="AW1" s="8"/>
    </row>
    <row r="2" spans="1:49" x14ac:dyDescent="0.25">
      <c r="A2" t="s">
        <v>34</v>
      </c>
      <c r="B2" s="6" t="str">
        <f>'Conversione-valore-2'!B3</f>
        <v>00000000000000000000000000000000</v>
      </c>
      <c r="G2" s="7"/>
      <c r="I2" s="7" t="s">
        <v>12</v>
      </c>
      <c r="J2">
        <f>--+MID($B1,J$1,1)</f>
        <v>0</v>
      </c>
      <c r="K2">
        <f t="shared" ref="K2:AO3" si="0">--+MID($B1,K$1,1)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0</v>
      </c>
      <c r="Q2">
        <f t="shared" si="0"/>
        <v>0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0</v>
      </c>
      <c r="W2">
        <f t="shared" si="0"/>
        <v>0</v>
      </c>
      <c r="X2">
        <f t="shared" si="0"/>
        <v>0</v>
      </c>
      <c r="Y2">
        <f t="shared" si="0"/>
        <v>0</v>
      </c>
      <c r="Z2">
        <f t="shared" si="0"/>
        <v>0</v>
      </c>
      <c r="AA2">
        <f t="shared" si="0"/>
        <v>0</v>
      </c>
      <c r="AB2">
        <f t="shared" si="0"/>
        <v>0</v>
      </c>
      <c r="AC2">
        <f t="shared" si="0"/>
        <v>0</v>
      </c>
      <c r="AD2">
        <f t="shared" si="0"/>
        <v>0</v>
      </c>
      <c r="AE2">
        <f t="shared" si="0"/>
        <v>0</v>
      </c>
      <c r="AF2">
        <f t="shared" si="0"/>
        <v>0</v>
      </c>
      <c r="AG2">
        <f t="shared" si="0"/>
        <v>0</v>
      </c>
      <c r="AH2">
        <f t="shared" si="0"/>
        <v>0</v>
      </c>
      <c r="AI2">
        <f t="shared" si="0"/>
        <v>0</v>
      </c>
      <c r="AJ2">
        <f t="shared" si="0"/>
        <v>0</v>
      </c>
      <c r="AK2">
        <f t="shared" si="0"/>
        <v>0</v>
      </c>
      <c r="AL2">
        <f t="shared" si="0"/>
        <v>0</v>
      </c>
      <c r="AM2">
        <f t="shared" si="0"/>
        <v>0</v>
      </c>
      <c r="AN2">
        <f t="shared" si="0"/>
        <v>0</v>
      </c>
      <c r="AO2">
        <f t="shared" si="0"/>
        <v>0</v>
      </c>
    </row>
    <row r="3" spans="1:49" x14ac:dyDescent="0.25">
      <c r="G3" s="7"/>
      <c r="I3" s="7" t="s">
        <v>13</v>
      </c>
      <c r="J3">
        <f>--+MID($B2,J$1,1)</f>
        <v>0</v>
      </c>
      <c r="K3">
        <f t="shared" si="0"/>
        <v>0</v>
      </c>
      <c r="L3">
        <f t="shared" si="0"/>
        <v>0</v>
      </c>
      <c r="M3">
        <f t="shared" si="0"/>
        <v>0</v>
      </c>
      <c r="N3">
        <f t="shared" si="0"/>
        <v>0</v>
      </c>
      <c r="O3">
        <f t="shared" si="0"/>
        <v>0</v>
      </c>
      <c r="P3">
        <f t="shared" si="0"/>
        <v>0</v>
      </c>
      <c r="Q3">
        <f t="shared" si="0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0</v>
      </c>
      <c r="W3">
        <f t="shared" si="0"/>
        <v>0</v>
      </c>
      <c r="X3">
        <f t="shared" si="0"/>
        <v>0</v>
      </c>
      <c r="Y3">
        <f t="shared" si="0"/>
        <v>0</v>
      </c>
      <c r="Z3">
        <f t="shared" si="0"/>
        <v>0</v>
      </c>
      <c r="AA3">
        <f t="shared" si="0"/>
        <v>0</v>
      </c>
      <c r="AB3">
        <f t="shared" si="0"/>
        <v>0</v>
      </c>
      <c r="AC3">
        <f t="shared" si="0"/>
        <v>0</v>
      </c>
      <c r="AD3">
        <f t="shared" si="0"/>
        <v>0</v>
      </c>
      <c r="AE3">
        <f t="shared" si="0"/>
        <v>0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0</v>
      </c>
      <c r="AJ3">
        <f t="shared" si="0"/>
        <v>0</v>
      </c>
      <c r="AK3">
        <f t="shared" si="0"/>
        <v>0</v>
      </c>
      <c r="AL3">
        <f t="shared" si="0"/>
        <v>0</v>
      </c>
      <c r="AM3">
        <f t="shared" si="0"/>
        <v>0</v>
      </c>
      <c r="AN3">
        <f t="shared" si="0"/>
        <v>0</v>
      </c>
      <c r="AO3">
        <f t="shared" si="0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561BA-FBC9-4F00-AF6B-C96806655C9A}">
  <sheetPr codeName="Foglio4"/>
  <dimension ref="A1:AM5"/>
  <sheetViews>
    <sheetView topLeftCell="C1" workbookViewId="0">
      <selection activeCell="L57" sqref="L57"/>
    </sheetView>
  </sheetViews>
  <sheetFormatPr defaultRowHeight="15" x14ac:dyDescent="0.25"/>
  <cols>
    <col min="1" max="1" width="10.5703125" bestFit="1" customWidth="1"/>
    <col min="2" max="2" width="33.85546875" bestFit="1" customWidth="1"/>
    <col min="6" max="6" width="10.5703125" bestFit="1" customWidth="1"/>
  </cols>
  <sheetData>
    <row r="1" spans="1:39" x14ac:dyDescent="0.25">
      <c r="A1" t="s">
        <v>20</v>
      </c>
      <c r="B1" t="str">
        <f>CONCATENATE(H5,I5,J5,K5,L5,M5,N5,O5,P5,Q5,R5,S5,T5,U5,V5,W5,X5,Y5,Z5,AA5,AB5,AC5,AD5,AE5,AF5,AG5,AH5,AI5,AJ5,AK5,AL5,AM5)</f>
        <v>00000000000000000000000000000000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</row>
    <row r="2" spans="1:39" x14ac:dyDescent="0.25">
      <c r="F2" t="s">
        <v>21</v>
      </c>
      <c r="G2" s="12">
        <f t="shared" ref="G2:N2" si="0">--+IF(OR(AND(H2=0,H3=0,H4=0),AND(H2=1,H3=0,H4=0),AND(H2=0,H3=1,H4=0),AND(H2=0,H3=0,H4=1)),0,1)</f>
        <v>0</v>
      </c>
      <c r="H2" s="12">
        <f t="shared" si="0"/>
        <v>0</v>
      </c>
      <c r="I2" s="12">
        <f t="shared" si="0"/>
        <v>0</v>
      </c>
      <c r="J2" s="12">
        <f t="shared" si="0"/>
        <v>0</v>
      </c>
      <c r="K2" s="12">
        <f t="shared" si="0"/>
        <v>0</v>
      </c>
      <c r="L2" s="12">
        <f t="shared" si="0"/>
        <v>0</v>
      </c>
      <c r="M2" s="12">
        <f t="shared" si="0"/>
        <v>0</v>
      </c>
      <c r="N2" s="12">
        <f t="shared" si="0"/>
        <v>0</v>
      </c>
      <c r="O2" s="12">
        <f t="shared" ref="O2" si="1">--+IF(OR(AND(P2=0,P3=0,P4=0),AND(P2=1,P3=0,P4=0),AND(P2=0,P3=1,P4=0),AND(P2=0,P3=0,P4=1)),0,1)</f>
        <v>0</v>
      </c>
      <c r="P2" s="12">
        <f t="shared" ref="P2" si="2">--+IF(OR(AND(Q2=0,Q3=0,Q4=0),AND(Q2=1,Q3=0,Q4=0),AND(Q2=0,Q3=1,Q4=0),AND(Q2=0,Q3=0,Q4=1)),0,1)</f>
        <v>0</v>
      </c>
      <c r="Q2" s="12">
        <f t="shared" ref="Q2" si="3">--+IF(OR(AND(R2=0,R3=0,R4=0),AND(R2=1,R3=0,R4=0),AND(R2=0,R3=1,R4=0),AND(R2=0,R3=0,R4=1)),0,1)</f>
        <v>0</v>
      </c>
      <c r="R2" s="12">
        <f t="shared" ref="R2" si="4">--+IF(OR(AND(S2=0,S3=0,S4=0),AND(S2=1,S3=0,S4=0),AND(S2=0,S3=1,S4=0),AND(S2=0,S3=0,S4=1)),0,1)</f>
        <v>0</v>
      </c>
      <c r="S2" s="12">
        <f t="shared" ref="S2" si="5">--+IF(OR(AND(T2=0,T3=0,T4=0),AND(T2=1,T3=0,T4=0),AND(T2=0,T3=1,T4=0),AND(T2=0,T3=0,T4=1)),0,1)</f>
        <v>0</v>
      </c>
      <c r="T2" s="12">
        <f t="shared" ref="T2" si="6">--+IF(OR(AND(U2=0,U3=0,U4=0),AND(U2=1,U3=0,U4=0),AND(U2=0,U3=1,U4=0),AND(U2=0,U3=0,U4=1)),0,1)</f>
        <v>0</v>
      </c>
      <c r="U2" s="12">
        <f t="shared" ref="U2" si="7">--+IF(OR(AND(V2=0,V3=0,V4=0),AND(V2=1,V3=0,V4=0),AND(V2=0,V3=1,V4=0),AND(V2=0,V3=0,V4=1)),0,1)</f>
        <v>0</v>
      </c>
      <c r="V2" s="12">
        <f t="shared" ref="V2" si="8">--+IF(OR(AND(W2=0,W3=0,W4=0),AND(W2=1,W3=0,W4=0),AND(W2=0,W3=1,W4=0),AND(W2=0,W3=0,W4=1)),0,1)</f>
        <v>0</v>
      </c>
      <c r="W2" s="12">
        <f t="shared" ref="W2" si="9">--+IF(OR(AND(X2=0,X3=0,X4=0),AND(X2=1,X3=0,X4=0),AND(X2=0,X3=1,X4=0),AND(X2=0,X3=0,X4=1)),0,1)</f>
        <v>0</v>
      </c>
      <c r="X2" s="12">
        <f t="shared" ref="X2" si="10">--+IF(OR(AND(Y2=0,Y3=0,Y4=0),AND(Y2=1,Y3=0,Y4=0),AND(Y2=0,Y3=1,Y4=0),AND(Y2=0,Y3=0,Y4=1)),0,1)</f>
        <v>0</v>
      </c>
      <c r="Y2" s="12">
        <f t="shared" ref="Y2" si="11">--+IF(OR(AND(Z2=0,Z3=0,Z4=0),AND(Z2=1,Z3=0,Z4=0),AND(Z2=0,Z3=1,Z4=0),AND(Z2=0,Z3=0,Z4=1)),0,1)</f>
        <v>0</v>
      </c>
      <c r="Z2" s="12">
        <f t="shared" ref="Z2" si="12">--+IF(OR(AND(AA2=0,AA3=0,AA4=0),AND(AA2=1,AA3=0,AA4=0),AND(AA2=0,AA3=1,AA4=0),AND(AA2=0,AA3=0,AA4=1)),0,1)</f>
        <v>0</v>
      </c>
      <c r="AA2" s="12">
        <f t="shared" ref="AA2" si="13">--+IF(OR(AND(AB2=0,AB3=0,AB4=0),AND(AB2=1,AB3=0,AB4=0),AND(AB2=0,AB3=1,AB4=0),AND(AB2=0,AB3=0,AB4=1)),0,1)</f>
        <v>0</v>
      </c>
      <c r="AB2" s="12">
        <f t="shared" ref="AB2" si="14">--+IF(OR(AND(AC2=0,AC3=0,AC4=0),AND(AC2=1,AC3=0,AC4=0),AND(AC2=0,AC3=1,AC4=0),AND(AC2=0,AC3=0,AC4=1)),0,1)</f>
        <v>0</v>
      </c>
      <c r="AC2" s="12">
        <f t="shared" ref="AC2" si="15">--+IF(OR(AND(AD2=0,AD3=0,AD4=0),AND(AD2=1,AD3=0,AD4=0),AND(AD2=0,AD3=1,AD4=0),AND(AD2=0,AD3=0,AD4=1)),0,1)</f>
        <v>0</v>
      </c>
      <c r="AD2" s="12">
        <f t="shared" ref="AD2" si="16">--+IF(OR(AND(AE2=0,AE3=0,AE4=0),AND(AE2=1,AE3=0,AE4=0),AND(AE2=0,AE3=1,AE4=0),AND(AE2=0,AE3=0,AE4=1)),0,1)</f>
        <v>0</v>
      </c>
      <c r="AE2" s="12">
        <f t="shared" ref="AE2" si="17">--+IF(OR(AND(AF2=0,AF3=0,AF4=0),AND(AF2=1,AF3=0,AF4=0),AND(AF2=0,AF3=1,AF4=0),AND(AF2=0,AF3=0,AF4=1)),0,1)</f>
        <v>0</v>
      </c>
      <c r="AF2" s="12">
        <f t="shared" ref="AF2" si="18">--+IF(OR(AND(AG2=0,AG3=0,AG4=0),AND(AG2=1,AG3=0,AG4=0),AND(AG2=0,AG3=1,AG4=0),AND(AG2=0,AG3=0,AG4=1)),0,1)</f>
        <v>0</v>
      </c>
      <c r="AG2" s="12">
        <f t="shared" ref="AG2" si="19">--+IF(OR(AND(AH2=0,AH3=0,AH4=0),AND(AH2=1,AH3=0,AH4=0),AND(AH2=0,AH3=1,AH4=0),AND(AH2=0,AH3=0,AH4=1)),0,1)</f>
        <v>0</v>
      </c>
      <c r="AH2" s="12">
        <f t="shared" ref="AH2" si="20">--+IF(OR(AND(AI2=0,AI3=0,AI4=0),AND(AI2=1,AI3=0,AI4=0),AND(AI2=0,AI3=1,AI4=0),AND(AI2=0,AI3=0,AI4=1)),0,1)</f>
        <v>0</v>
      </c>
      <c r="AI2" s="12">
        <f t="shared" ref="AI2" si="21">--+IF(OR(AND(AJ2=0,AJ3=0,AJ4=0),AND(AJ2=1,AJ3=0,AJ4=0),AND(AJ2=0,AJ3=1,AJ4=0),AND(AJ2=0,AJ3=0,AJ4=1)),0,1)</f>
        <v>0</v>
      </c>
      <c r="AJ2" s="12">
        <f t="shared" ref="AJ2" si="22">--+IF(OR(AND(AK2=0,AK3=0,AK4=0),AND(AK2=1,AK3=0,AK4=0),AND(AK2=0,AK3=1,AK4=0),AND(AK2=0,AK3=0,AK4=1)),0,1)</f>
        <v>0</v>
      </c>
      <c r="AK2" s="12">
        <f t="shared" ref="AK2" si="23">--+IF(OR(AND(AL2=0,AL3=0,AL4=0),AND(AL2=1,AL3=0,AL4=0),AND(AL2=0,AL3=1,AL4=0),AND(AL2=0,AL3=0,AL4=1)),0,1)</f>
        <v>0</v>
      </c>
      <c r="AL2" s="12">
        <f t="shared" ref="AL2" si="24">--+IF(OR(AND(AM2=0,AM3=0,AM4=0),AND(AM2=1,AM3=0,AM4=0),AND(AM2=0,AM3=1,AM4=0),AND(AM2=0,AM3=0,AM4=1)),0,1)</f>
        <v>0</v>
      </c>
    </row>
    <row r="3" spans="1:39" x14ac:dyDescent="0.25">
      <c r="F3" t="s">
        <v>22</v>
      </c>
      <c r="G3" s="8"/>
      <c r="H3" s="8">
        <f>'Singola-cifra'!J2</f>
        <v>0</v>
      </c>
      <c r="I3" s="8">
        <f>'Singola-cifra'!K2</f>
        <v>0</v>
      </c>
      <c r="J3" s="8">
        <f>'Singola-cifra'!L2</f>
        <v>0</v>
      </c>
      <c r="K3" s="8">
        <f>'Singola-cifra'!M2</f>
        <v>0</v>
      </c>
      <c r="L3" s="8">
        <f>'Singola-cifra'!N2</f>
        <v>0</v>
      </c>
      <c r="M3" s="8">
        <f>'Singola-cifra'!O2</f>
        <v>0</v>
      </c>
      <c r="N3" s="8">
        <f>'Singola-cifra'!P2</f>
        <v>0</v>
      </c>
      <c r="O3" s="8">
        <f>'Singola-cifra'!Q2</f>
        <v>0</v>
      </c>
      <c r="P3" s="8">
        <f>'Singola-cifra'!R2</f>
        <v>0</v>
      </c>
      <c r="Q3" s="8">
        <f>'Singola-cifra'!S2</f>
        <v>0</v>
      </c>
      <c r="R3" s="8">
        <f>'Singola-cifra'!T2</f>
        <v>0</v>
      </c>
      <c r="S3" s="8">
        <f>'Singola-cifra'!U2</f>
        <v>0</v>
      </c>
      <c r="T3" s="8">
        <f>'Singola-cifra'!V2</f>
        <v>0</v>
      </c>
      <c r="U3" s="8">
        <f>'Singola-cifra'!W2</f>
        <v>0</v>
      </c>
      <c r="V3" s="8">
        <f>'Singola-cifra'!X2</f>
        <v>0</v>
      </c>
      <c r="W3" s="8">
        <f>'Singola-cifra'!Y2</f>
        <v>0</v>
      </c>
      <c r="X3" s="8">
        <f>'Singola-cifra'!Z2</f>
        <v>0</v>
      </c>
      <c r="Y3" s="8">
        <f>'Singola-cifra'!AA2</f>
        <v>0</v>
      </c>
      <c r="Z3" s="8">
        <f>'Singola-cifra'!AB2</f>
        <v>0</v>
      </c>
      <c r="AA3" s="8">
        <f>'Singola-cifra'!AC2</f>
        <v>0</v>
      </c>
      <c r="AB3" s="8">
        <f>'Singola-cifra'!AD2</f>
        <v>0</v>
      </c>
      <c r="AC3" s="8">
        <f>'Singola-cifra'!AE2</f>
        <v>0</v>
      </c>
      <c r="AD3" s="8">
        <f>'Singola-cifra'!AF2</f>
        <v>0</v>
      </c>
      <c r="AE3" s="8">
        <f>'Singola-cifra'!AG2</f>
        <v>0</v>
      </c>
      <c r="AF3" s="8">
        <f>'Singola-cifra'!AH2</f>
        <v>0</v>
      </c>
      <c r="AG3" s="8">
        <f>'Singola-cifra'!AI2</f>
        <v>0</v>
      </c>
      <c r="AH3" s="8">
        <f>'Singola-cifra'!AJ2</f>
        <v>0</v>
      </c>
      <c r="AI3" s="8">
        <f>'Singola-cifra'!AK2</f>
        <v>0</v>
      </c>
      <c r="AJ3" s="8">
        <f>'Singola-cifra'!AL2</f>
        <v>0</v>
      </c>
      <c r="AK3" s="8">
        <f>'Singola-cifra'!AM2</f>
        <v>0</v>
      </c>
      <c r="AL3" s="8">
        <f>'Singola-cifra'!AN2</f>
        <v>0</v>
      </c>
      <c r="AM3" s="8">
        <f>'Singola-cifra'!AO2</f>
        <v>0</v>
      </c>
    </row>
    <row r="4" spans="1:39" x14ac:dyDescent="0.25">
      <c r="F4" t="s">
        <v>23</v>
      </c>
      <c r="G4" s="8"/>
      <c r="H4" s="8">
        <f>'Singola-cifra'!J3</f>
        <v>0</v>
      </c>
      <c r="I4" s="8">
        <f>'Singola-cifra'!K3</f>
        <v>0</v>
      </c>
      <c r="J4" s="8">
        <f>'Singola-cifra'!L3</f>
        <v>0</v>
      </c>
      <c r="K4" s="8">
        <f>'Singola-cifra'!M3</f>
        <v>0</v>
      </c>
      <c r="L4" s="8">
        <f>'Singola-cifra'!N3</f>
        <v>0</v>
      </c>
      <c r="M4" s="8">
        <f>'Singola-cifra'!O3</f>
        <v>0</v>
      </c>
      <c r="N4" s="8">
        <f>'Singola-cifra'!P3</f>
        <v>0</v>
      </c>
      <c r="O4" s="8">
        <f>'Singola-cifra'!Q3</f>
        <v>0</v>
      </c>
      <c r="P4" s="8">
        <f>'Singola-cifra'!R3</f>
        <v>0</v>
      </c>
      <c r="Q4" s="8">
        <f>'Singola-cifra'!S3</f>
        <v>0</v>
      </c>
      <c r="R4" s="8">
        <f>'Singola-cifra'!T3</f>
        <v>0</v>
      </c>
      <c r="S4" s="8">
        <f>'Singola-cifra'!U3</f>
        <v>0</v>
      </c>
      <c r="T4" s="8">
        <f>'Singola-cifra'!V3</f>
        <v>0</v>
      </c>
      <c r="U4" s="8">
        <f>'Singola-cifra'!W3</f>
        <v>0</v>
      </c>
      <c r="V4" s="8">
        <f>'Singola-cifra'!X3</f>
        <v>0</v>
      </c>
      <c r="W4" s="8">
        <f>'Singola-cifra'!Y3</f>
        <v>0</v>
      </c>
      <c r="X4" s="8">
        <f>'Singola-cifra'!Z3</f>
        <v>0</v>
      </c>
      <c r="Y4" s="8">
        <f>'Singola-cifra'!AA3</f>
        <v>0</v>
      </c>
      <c r="Z4" s="8">
        <f>'Singola-cifra'!AB3</f>
        <v>0</v>
      </c>
      <c r="AA4" s="8">
        <f>'Singola-cifra'!AC3</f>
        <v>0</v>
      </c>
      <c r="AB4" s="8">
        <f>'Singola-cifra'!AD3</f>
        <v>0</v>
      </c>
      <c r="AC4" s="8">
        <f>'Singola-cifra'!AE3</f>
        <v>0</v>
      </c>
      <c r="AD4" s="8">
        <f>'Singola-cifra'!AF3</f>
        <v>0</v>
      </c>
      <c r="AE4" s="8">
        <f>'Singola-cifra'!AG3</f>
        <v>0</v>
      </c>
      <c r="AF4" s="8">
        <f>'Singola-cifra'!AH3</f>
        <v>0</v>
      </c>
      <c r="AG4" s="8">
        <f>'Singola-cifra'!AI3</f>
        <v>0</v>
      </c>
      <c r="AH4" s="8">
        <f>'Singola-cifra'!AJ3</f>
        <v>0</v>
      </c>
      <c r="AI4" s="8">
        <f>'Singola-cifra'!AK3</f>
        <v>0</v>
      </c>
      <c r="AJ4" s="8">
        <f>'Singola-cifra'!AL3</f>
        <v>0</v>
      </c>
      <c r="AK4" s="8">
        <f>'Singola-cifra'!AM3</f>
        <v>0</v>
      </c>
      <c r="AL4" s="8">
        <f>'Singola-cifra'!AN3</f>
        <v>0</v>
      </c>
      <c r="AM4" s="8">
        <f>'Singola-cifra'!AO3</f>
        <v>0</v>
      </c>
    </row>
    <row r="5" spans="1:39" x14ac:dyDescent="0.25">
      <c r="F5" t="s">
        <v>20</v>
      </c>
      <c r="G5" s="8"/>
      <c r="H5" s="11">
        <f t="shared" ref="H5:AM5" si="25">IF(OR(AND(H2=0,H3=0,H4=0),AND(H2=1,H3=1,H4=0),AND(H2=0,H3=1,H4=1),AND(H2=1,H3=0,H4=1)),0,1)</f>
        <v>0</v>
      </c>
      <c r="I5" s="11">
        <f t="shared" si="25"/>
        <v>0</v>
      </c>
      <c r="J5" s="11">
        <f t="shared" si="25"/>
        <v>0</v>
      </c>
      <c r="K5" s="11">
        <f t="shared" si="25"/>
        <v>0</v>
      </c>
      <c r="L5" s="11">
        <f t="shared" si="25"/>
        <v>0</v>
      </c>
      <c r="M5" s="11">
        <f t="shared" si="25"/>
        <v>0</v>
      </c>
      <c r="N5" s="11">
        <f t="shared" si="25"/>
        <v>0</v>
      </c>
      <c r="O5" s="11">
        <f t="shared" si="25"/>
        <v>0</v>
      </c>
      <c r="P5" s="11">
        <f t="shared" si="25"/>
        <v>0</v>
      </c>
      <c r="Q5" s="11">
        <f t="shared" si="25"/>
        <v>0</v>
      </c>
      <c r="R5" s="11">
        <f t="shared" si="25"/>
        <v>0</v>
      </c>
      <c r="S5" s="11">
        <f t="shared" si="25"/>
        <v>0</v>
      </c>
      <c r="T5" s="11">
        <f t="shared" si="25"/>
        <v>0</v>
      </c>
      <c r="U5" s="11">
        <f t="shared" si="25"/>
        <v>0</v>
      </c>
      <c r="V5" s="11">
        <f t="shared" si="25"/>
        <v>0</v>
      </c>
      <c r="W5" s="11">
        <f t="shared" si="25"/>
        <v>0</v>
      </c>
      <c r="X5" s="11">
        <f t="shared" si="25"/>
        <v>0</v>
      </c>
      <c r="Y5" s="11">
        <f t="shared" si="25"/>
        <v>0</v>
      </c>
      <c r="Z5" s="11">
        <f t="shared" si="25"/>
        <v>0</v>
      </c>
      <c r="AA5" s="11">
        <f t="shared" si="25"/>
        <v>0</v>
      </c>
      <c r="AB5" s="11">
        <f t="shared" si="25"/>
        <v>0</v>
      </c>
      <c r="AC5" s="11">
        <f t="shared" si="25"/>
        <v>0</v>
      </c>
      <c r="AD5" s="11">
        <f t="shared" si="25"/>
        <v>0</v>
      </c>
      <c r="AE5" s="11">
        <f t="shared" si="25"/>
        <v>0</v>
      </c>
      <c r="AF5" s="11">
        <f t="shared" si="25"/>
        <v>0</v>
      </c>
      <c r="AG5" s="11">
        <f t="shared" si="25"/>
        <v>0</v>
      </c>
      <c r="AH5" s="11">
        <f t="shared" si="25"/>
        <v>0</v>
      </c>
      <c r="AI5" s="11">
        <f t="shared" si="25"/>
        <v>0</v>
      </c>
      <c r="AJ5" s="11">
        <f t="shared" si="25"/>
        <v>0</v>
      </c>
      <c r="AK5" s="11">
        <f t="shared" si="25"/>
        <v>0</v>
      </c>
      <c r="AL5" s="11">
        <f t="shared" si="25"/>
        <v>0</v>
      </c>
      <c r="AM5" s="11">
        <f t="shared" si="25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A18D-A7E0-4174-A7A3-78D88E9980E6}">
  <sheetPr codeName="Foglio5"/>
  <dimension ref="A1:AM12"/>
  <sheetViews>
    <sheetView topLeftCell="C1" workbookViewId="0">
      <selection activeCell="B2" sqref="B2"/>
    </sheetView>
  </sheetViews>
  <sheetFormatPr defaultRowHeight="15" x14ac:dyDescent="0.25"/>
  <cols>
    <col min="1" max="1" width="10.5703125" bestFit="1" customWidth="1"/>
    <col min="2" max="2" width="33.85546875" bestFit="1" customWidth="1"/>
    <col min="6" max="6" width="14.5703125" bestFit="1" customWidth="1"/>
    <col min="7" max="7" width="9.42578125" customWidth="1"/>
    <col min="8" max="8" width="8.85546875" customWidth="1"/>
  </cols>
  <sheetData>
    <row r="1" spans="1:39" x14ac:dyDescent="0.25">
      <c r="A1" t="s">
        <v>20</v>
      </c>
      <c r="B1" s="17" t="str">
        <f>CONCATENATE(H12,I12,J12,K12,L12,M12,N12,O12,P12,Q12,R12,S12,T12,U12,V12,W12,X12,Y12,Z12,AA12,AB12,AC12,AD12,AE12,AF12,AG12,AH12,AI12,AJ12,AK12,AL12,AM12)</f>
        <v>00000000000000000000000000000000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  <c r="AM1">
        <v>31</v>
      </c>
    </row>
    <row r="2" spans="1:39" x14ac:dyDescent="0.25">
      <c r="F2" t="s">
        <v>21</v>
      </c>
      <c r="G2" s="12">
        <f>IF(OR(AND(H2=0,H3=0,H4=0),AND(H2=1,H3=0,H4=0),AND(H2=0,H3=1,H4=0),AND(H2=0,H3=0,H4=1)),0,1)</f>
        <v>1</v>
      </c>
      <c r="H2" s="12">
        <f t="shared" ref="H2:AL2" si="0">IF(OR(AND(I2=0,I3=0,I4=0),AND(I2=1,I3=0,I4=0),AND(I2=0,I3=1,I4=0),AND(I2=0,I3=0,I4=1)),0,1)</f>
        <v>1</v>
      </c>
      <c r="I2" s="12">
        <f t="shared" si="0"/>
        <v>1</v>
      </c>
      <c r="J2" s="12">
        <f t="shared" si="0"/>
        <v>1</v>
      </c>
      <c r="K2" s="12">
        <f t="shared" si="0"/>
        <v>1</v>
      </c>
      <c r="L2" s="12">
        <f t="shared" si="0"/>
        <v>1</v>
      </c>
      <c r="M2" s="12">
        <f t="shared" si="0"/>
        <v>1</v>
      </c>
      <c r="N2" s="12">
        <f t="shared" si="0"/>
        <v>1</v>
      </c>
      <c r="O2" s="12">
        <f t="shared" si="0"/>
        <v>1</v>
      </c>
      <c r="P2" s="12">
        <f t="shared" si="0"/>
        <v>1</v>
      </c>
      <c r="Q2" s="12">
        <f t="shared" si="0"/>
        <v>1</v>
      </c>
      <c r="R2" s="12">
        <f t="shared" si="0"/>
        <v>1</v>
      </c>
      <c r="S2" s="12">
        <f t="shared" si="0"/>
        <v>1</v>
      </c>
      <c r="T2" s="12">
        <f t="shared" si="0"/>
        <v>1</v>
      </c>
      <c r="U2" s="12">
        <f t="shared" si="0"/>
        <v>1</v>
      </c>
      <c r="V2" s="12">
        <f t="shared" si="0"/>
        <v>1</v>
      </c>
      <c r="W2" s="12">
        <f t="shared" si="0"/>
        <v>1</v>
      </c>
      <c r="X2" s="12">
        <f t="shared" si="0"/>
        <v>1</v>
      </c>
      <c r="Y2" s="12">
        <f t="shared" si="0"/>
        <v>1</v>
      </c>
      <c r="Z2" s="12">
        <f t="shared" si="0"/>
        <v>1</v>
      </c>
      <c r="AA2" s="12">
        <f t="shared" si="0"/>
        <v>1</v>
      </c>
      <c r="AB2" s="12">
        <f t="shared" si="0"/>
        <v>1</v>
      </c>
      <c r="AC2" s="12">
        <f t="shared" si="0"/>
        <v>1</v>
      </c>
      <c r="AD2" s="12">
        <f t="shared" si="0"/>
        <v>1</v>
      </c>
      <c r="AE2" s="12">
        <f t="shared" si="0"/>
        <v>1</v>
      </c>
      <c r="AF2" s="12">
        <f t="shared" si="0"/>
        <v>1</v>
      </c>
      <c r="AG2" s="12">
        <f t="shared" si="0"/>
        <v>1</v>
      </c>
      <c r="AH2" s="12">
        <f t="shared" si="0"/>
        <v>1</v>
      </c>
      <c r="AI2" s="12">
        <f t="shared" si="0"/>
        <v>1</v>
      </c>
      <c r="AJ2" s="12">
        <f t="shared" si="0"/>
        <v>1</v>
      </c>
      <c r="AK2" s="12">
        <f t="shared" si="0"/>
        <v>1</v>
      </c>
      <c r="AL2" s="12">
        <f t="shared" si="0"/>
        <v>1</v>
      </c>
    </row>
    <row r="3" spans="1:39" x14ac:dyDescent="0.25">
      <c r="F3" t="s">
        <v>22</v>
      </c>
      <c r="G3" s="8"/>
      <c r="H3" s="13">
        <f>IF('Singola-cifra'!J3=0,1,0)</f>
        <v>1</v>
      </c>
      <c r="I3" s="13">
        <f>IF('Singola-cifra'!K3=0,1,0)</f>
        <v>1</v>
      </c>
      <c r="J3" s="13">
        <f>IF('Singola-cifra'!L3=0,1,0)</f>
        <v>1</v>
      </c>
      <c r="K3" s="13">
        <f>IF('Singola-cifra'!M3=0,1,0)</f>
        <v>1</v>
      </c>
      <c r="L3" s="13">
        <f>IF('Singola-cifra'!N3=0,1,0)</f>
        <v>1</v>
      </c>
      <c r="M3" s="13">
        <f>IF('Singola-cifra'!O3=0,1,0)</f>
        <v>1</v>
      </c>
      <c r="N3" s="13">
        <f>IF('Singola-cifra'!P3=0,1,0)</f>
        <v>1</v>
      </c>
      <c r="O3" s="13">
        <f>IF('Singola-cifra'!Q3=0,1,0)</f>
        <v>1</v>
      </c>
      <c r="P3" s="13">
        <f>IF('Singola-cifra'!R3=0,1,0)</f>
        <v>1</v>
      </c>
      <c r="Q3" s="13">
        <f>IF('Singola-cifra'!S3=0,1,0)</f>
        <v>1</v>
      </c>
      <c r="R3" s="13">
        <f>IF('Singola-cifra'!T3=0,1,0)</f>
        <v>1</v>
      </c>
      <c r="S3" s="13">
        <f>IF('Singola-cifra'!U3=0,1,0)</f>
        <v>1</v>
      </c>
      <c r="T3" s="13">
        <f>IF('Singola-cifra'!V3=0,1,0)</f>
        <v>1</v>
      </c>
      <c r="U3" s="13">
        <f>IF('Singola-cifra'!W3=0,1,0)</f>
        <v>1</v>
      </c>
      <c r="V3" s="13">
        <f>IF('Singola-cifra'!X3=0,1,0)</f>
        <v>1</v>
      </c>
      <c r="W3" s="13">
        <f>IF('Singola-cifra'!Y3=0,1,0)</f>
        <v>1</v>
      </c>
      <c r="X3" s="13">
        <f>IF('Singola-cifra'!Z3=0,1,0)</f>
        <v>1</v>
      </c>
      <c r="Y3" s="13">
        <f>IF('Singola-cifra'!AA3=0,1,0)</f>
        <v>1</v>
      </c>
      <c r="Z3" s="13">
        <f>IF('Singola-cifra'!AB3=0,1,0)</f>
        <v>1</v>
      </c>
      <c r="AA3" s="13">
        <f>IF('Singola-cifra'!AC3=0,1,0)</f>
        <v>1</v>
      </c>
      <c r="AB3" s="13">
        <f>IF('Singola-cifra'!AD3=0,1,0)</f>
        <v>1</v>
      </c>
      <c r="AC3" s="13">
        <f>IF('Singola-cifra'!AE3=0,1,0)</f>
        <v>1</v>
      </c>
      <c r="AD3" s="13">
        <f>IF('Singola-cifra'!AF3=0,1,0)</f>
        <v>1</v>
      </c>
      <c r="AE3" s="13">
        <f>IF('Singola-cifra'!AG3=0,1,0)</f>
        <v>1</v>
      </c>
      <c r="AF3" s="13">
        <f>IF('Singola-cifra'!AH3=0,1,0)</f>
        <v>1</v>
      </c>
      <c r="AG3" s="13">
        <f>IF('Singola-cifra'!AI3=0,1,0)</f>
        <v>1</v>
      </c>
      <c r="AH3" s="13">
        <f>IF('Singola-cifra'!AJ3=0,1,0)</f>
        <v>1</v>
      </c>
      <c r="AI3" s="13">
        <f>IF('Singola-cifra'!AK3=0,1,0)</f>
        <v>1</v>
      </c>
      <c r="AJ3" s="13">
        <f>IF('Singola-cifra'!AL3=0,1,0)</f>
        <v>1</v>
      </c>
      <c r="AK3" s="13">
        <f>IF('Singola-cifra'!AM3=0,1,0)</f>
        <v>1</v>
      </c>
      <c r="AL3" s="13">
        <f>IF('Singola-cifra'!AN3=0,1,0)</f>
        <v>1</v>
      </c>
      <c r="AM3" s="13">
        <f>IF('Singola-cifra'!AO3=0,1,0)</f>
        <v>1</v>
      </c>
    </row>
    <row r="4" spans="1:39" x14ac:dyDescent="0.25">
      <c r="F4" t="s">
        <v>24</v>
      </c>
      <c r="G4" s="8"/>
      <c r="H4" s="8"/>
      <c r="I4" s="8"/>
      <c r="J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14">
        <v>1</v>
      </c>
    </row>
    <row r="5" spans="1:39" x14ac:dyDescent="0.25">
      <c r="F5" t="s">
        <v>25</v>
      </c>
      <c r="G5" s="8"/>
      <c r="H5" s="15">
        <f t="shared" ref="H5:AM5" si="1">IF(OR(AND(H2=0,H3=0,H4=0),AND(H2=1,H3=1,H4=0),AND(H2=0,H3=1,H4=1),AND(H2=1,H3=0,H4=1)),0,1)</f>
        <v>0</v>
      </c>
      <c r="I5" s="15">
        <f t="shared" si="1"/>
        <v>0</v>
      </c>
      <c r="J5" s="15">
        <f t="shared" si="1"/>
        <v>0</v>
      </c>
      <c r="K5" s="15">
        <f t="shared" si="1"/>
        <v>0</v>
      </c>
      <c r="L5" s="15">
        <f t="shared" si="1"/>
        <v>0</v>
      </c>
      <c r="M5" s="15">
        <f t="shared" si="1"/>
        <v>0</v>
      </c>
      <c r="N5" s="15">
        <f t="shared" si="1"/>
        <v>0</v>
      </c>
      <c r="O5" s="15">
        <f t="shared" si="1"/>
        <v>0</v>
      </c>
      <c r="P5" s="15">
        <f t="shared" si="1"/>
        <v>0</v>
      </c>
      <c r="Q5" s="15">
        <f t="shared" si="1"/>
        <v>0</v>
      </c>
      <c r="R5" s="15">
        <f t="shared" si="1"/>
        <v>0</v>
      </c>
      <c r="S5" s="15">
        <f t="shared" si="1"/>
        <v>0</v>
      </c>
      <c r="T5" s="15">
        <f t="shared" si="1"/>
        <v>0</v>
      </c>
      <c r="U5" s="15">
        <f t="shared" si="1"/>
        <v>0</v>
      </c>
      <c r="V5" s="15">
        <f t="shared" si="1"/>
        <v>0</v>
      </c>
      <c r="W5" s="15">
        <f t="shared" si="1"/>
        <v>0</v>
      </c>
      <c r="X5" s="15">
        <f t="shared" si="1"/>
        <v>0</v>
      </c>
      <c r="Y5" s="15">
        <f t="shared" si="1"/>
        <v>0</v>
      </c>
      <c r="Z5" s="15">
        <f t="shared" si="1"/>
        <v>0</v>
      </c>
      <c r="AA5" s="15">
        <f t="shared" si="1"/>
        <v>0</v>
      </c>
      <c r="AB5" s="15">
        <f t="shared" si="1"/>
        <v>0</v>
      </c>
      <c r="AC5" s="15">
        <f t="shared" si="1"/>
        <v>0</v>
      </c>
      <c r="AD5" s="15">
        <f t="shared" si="1"/>
        <v>0</v>
      </c>
      <c r="AE5" s="15">
        <f t="shared" si="1"/>
        <v>0</v>
      </c>
      <c r="AF5" s="15">
        <f t="shared" si="1"/>
        <v>0</v>
      </c>
      <c r="AG5" s="15">
        <f t="shared" si="1"/>
        <v>0</v>
      </c>
      <c r="AH5" s="15">
        <f t="shared" si="1"/>
        <v>0</v>
      </c>
      <c r="AI5" s="15">
        <f t="shared" si="1"/>
        <v>0</v>
      </c>
      <c r="AJ5" s="15">
        <f t="shared" si="1"/>
        <v>0</v>
      </c>
      <c r="AK5" s="15">
        <f t="shared" si="1"/>
        <v>0</v>
      </c>
      <c r="AL5" s="15">
        <f t="shared" si="1"/>
        <v>0</v>
      </c>
      <c r="AM5" s="15">
        <f t="shared" si="1"/>
        <v>0</v>
      </c>
    </row>
    <row r="9" spans="1:39" x14ac:dyDescent="0.25">
      <c r="F9" t="s">
        <v>21</v>
      </c>
      <c r="G9" s="12">
        <f t="shared" ref="G9:N9" si="2">--+IF(OR(AND(H9=0,H10=0,H11=0),AND(H9=1,H10=0,H11=0),AND(H9=0,H10=1,H11=0),AND(H9=0,H10=0,H11=1)),0,1)</f>
        <v>0</v>
      </c>
      <c r="H9" s="12">
        <f t="shared" si="2"/>
        <v>0</v>
      </c>
      <c r="I9" s="12">
        <f t="shared" si="2"/>
        <v>0</v>
      </c>
      <c r="J9" s="12">
        <f t="shared" si="2"/>
        <v>0</v>
      </c>
      <c r="K9" s="12">
        <f t="shared" si="2"/>
        <v>0</v>
      </c>
      <c r="L9" s="12">
        <f t="shared" si="2"/>
        <v>0</v>
      </c>
      <c r="M9" s="12">
        <f t="shared" si="2"/>
        <v>0</v>
      </c>
      <c r="N9" s="12">
        <f t="shared" si="2"/>
        <v>0</v>
      </c>
      <c r="O9" s="12">
        <f t="shared" ref="O9" si="3">--+IF(OR(AND(P9=0,P10=0,P11=0),AND(P9=1,P10=0,P11=0),AND(P9=0,P10=1,P11=0),AND(P9=0,P10=0,P11=1)),0,1)</f>
        <v>0</v>
      </c>
      <c r="P9" s="12">
        <f t="shared" ref="P9" si="4">--+IF(OR(AND(Q9=0,Q10=0,Q11=0),AND(Q9=1,Q10=0,Q11=0),AND(Q9=0,Q10=1,Q11=0),AND(Q9=0,Q10=0,Q11=1)),0,1)</f>
        <v>0</v>
      </c>
      <c r="Q9" s="12">
        <f t="shared" ref="Q9" si="5">--+IF(OR(AND(R9=0,R10=0,R11=0),AND(R9=1,R10=0,R11=0),AND(R9=0,R10=1,R11=0),AND(R9=0,R10=0,R11=1)),0,1)</f>
        <v>0</v>
      </c>
      <c r="R9" s="12">
        <f t="shared" ref="R9" si="6">--+IF(OR(AND(S9=0,S10=0,S11=0),AND(S9=1,S10=0,S11=0),AND(S9=0,S10=1,S11=0),AND(S9=0,S10=0,S11=1)),0,1)</f>
        <v>0</v>
      </c>
      <c r="S9" s="12">
        <f t="shared" ref="S9" si="7">--+IF(OR(AND(T9=0,T10=0,T11=0),AND(T9=1,T10=0,T11=0),AND(T9=0,T10=1,T11=0),AND(T9=0,T10=0,T11=1)),0,1)</f>
        <v>0</v>
      </c>
      <c r="T9" s="12">
        <f t="shared" ref="T9" si="8">--+IF(OR(AND(U9=0,U10=0,U11=0),AND(U9=1,U10=0,U11=0),AND(U9=0,U10=1,U11=0),AND(U9=0,U10=0,U11=1)),0,1)</f>
        <v>0</v>
      </c>
      <c r="U9" s="12">
        <f t="shared" ref="U9" si="9">--+IF(OR(AND(V9=0,V10=0,V11=0),AND(V9=1,V10=0,V11=0),AND(V9=0,V10=1,V11=0),AND(V9=0,V10=0,V11=1)),0,1)</f>
        <v>0</v>
      </c>
      <c r="V9" s="12">
        <f t="shared" ref="V9" si="10">--+IF(OR(AND(W9=0,W10=0,W11=0),AND(W9=1,W10=0,W11=0),AND(W9=0,W10=1,W11=0),AND(W9=0,W10=0,W11=1)),0,1)</f>
        <v>0</v>
      </c>
      <c r="W9" s="12">
        <f t="shared" ref="W9" si="11">--+IF(OR(AND(X9=0,X10=0,X11=0),AND(X9=1,X10=0,X11=0),AND(X9=0,X10=1,X11=0),AND(X9=0,X10=0,X11=1)),0,1)</f>
        <v>0</v>
      </c>
      <c r="X9" s="12">
        <f t="shared" ref="X9" si="12">--+IF(OR(AND(Y9=0,Y10=0,Y11=0),AND(Y9=1,Y10=0,Y11=0),AND(Y9=0,Y10=1,Y11=0),AND(Y9=0,Y10=0,Y11=1)),0,1)</f>
        <v>0</v>
      </c>
      <c r="Y9" s="12">
        <f t="shared" ref="Y9" si="13">--+IF(OR(AND(Z9=0,Z10=0,Z11=0),AND(Z9=1,Z10=0,Z11=0),AND(Z9=0,Z10=1,Z11=0),AND(Z9=0,Z10=0,Z11=1)),0,1)</f>
        <v>0</v>
      </c>
      <c r="Z9" s="12">
        <f t="shared" ref="Z9" si="14">--+IF(OR(AND(AA9=0,AA10=0,AA11=0),AND(AA9=1,AA10=0,AA11=0),AND(AA9=0,AA10=1,AA11=0),AND(AA9=0,AA10=0,AA11=1)),0,1)</f>
        <v>0</v>
      </c>
      <c r="AA9" s="12">
        <f t="shared" ref="AA9" si="15">--+IF(OR(AND(AB9=0,AB10=0,AB11=0),AND(AB9=1,AB10=0,AB11=0),AND(AB9=0,AB10=1,AB11=0),AND(AB9=0,AB10=0,AB11=1)),0,1)</f>
        <v>0</v>
      </c>
      <c r="AB9" s="12">
        <f t="shared" ref="AB9" si="16">--+IF(OR(AND(AC9=0,AC10=0,AC11=0),AND(AC9=1,AC10=0,AC11=0),AND(AC9=0,AC10=1,AC11=0),AND(AC9=0,AC10=0,AC11=1)),0,1)</f>
        <v>0</v>
      </c>
      <c r="AC9" s="12">
        <f t="shared" ref="AC9" si="17">--+IF(OR(AND(AD9=0,AD10=0,AD11=0),AND(AD9=1,AD10=0,AD11=0),AND(AD9=0,AD10=1,AD11=0),AND(AD9=0,AD10=0,AD11=1)),0,1)</f>
        <v>0</v>
      </c>
      <c r="AD9" s="12">
        <f t="shared" ref="AD9" si="18">--+IF(OR(AND(AE9=0,AE10=0,AE11=0),AND(AE9=1,AE10=0,AE11=0),AND(AE9=0,AE10=1,AE11=0),AND(AE9=0,AE10=0,AE11=1)),0,1)</f>
        <v>0</v>
      </c>
      <c r="AE9" s="12">
        <f t="shared" ref="AE9" si="19">--+IF(OR(AND(AF9=0,AF10=0,AF11=0),AND(AF9=1,AF10=0,AF11=0),AND(AF9=0,AF10=1,AF11=0),AND(AF9=0,AF10=0,AF11=1)),0,1)</f>
        <v>0</v>
      </c>
      <c r="AF9" s="12">
        <f t="shared" ref="AF9" si="20">--+IF(OR(AND(AG9=0,AG10=0,AG11=0),AND(AG9=1,AG10=0,AG11=0),AND(AG9=0,AG10=1,AG11=0),AND(AG9=0,AG10=0,AG11=1)),0,1)</f>
        <v>0</v>
      </c>
      <c r="AG9" s="12">
        <f t="shared" ref="AG9" si="21">--+IF(OR(AND(AH9=0,AH10=0,AH11=0),AND(AH9=1,AH10=0,AH11=0),AND(AH9=0,AH10=1,AH11=0),AND(AH9=0,AH10=0,AH11=1)),0,1)</f>
        <v>0</v>
      </c>
      <c r="AH9" s="12">
        <f t="shared" ref="AH9" si="22">--+IF(OR(AND(AI9=0,AI10=0,AI11=0),AND(AI9=1,AI10=0,AI11=0),AND(AI9=0,AI10=1,AI11=0),AND(AI9=0,AI10=0,AI11=1)),0,1)</f>
        <v>0</v>
      </c>
      <c r="AI9" s="12">
        <f t="shared" ref="AI9" si="23">--+IF(OR(AND(AJ9=0,AJ10=0,AJ11=0),AND(AJ9=1,AJ10=0,AJ11=0),AND(AJ9=0,AJ10=1,AJ11=0),AND(AJ9=0,AJ10=0,AJ11=1)),0,1)</f>
        <v>0</v>
      </c>
      <c r="AJ9" s="12">
        <f t="shared" ref="AJ9" si="24">--+IF(OR(AND(AK9=0,AK10=0,AK11=0),AND(AK9=1,AK10=0,AK11=0),AND(AK9=0,AK10=1,AK11=0),AND(AK9=0,AK10=0,AK11=1)),0,1)</f>
        <v>0</v>
      </c>
      <c r="AK9" s="12">
        <f t="shared" ref="AK9" si="25">--+IF(OR(AND(AL9=0,AL10=0,AL11=0),AND(AL9=1,AL10=0,AL11=0),AND(AL9=0,AL10=1,AL11=0),AND(AL9=0,AL10=0,AL11=1)),0,1)</f>
        <v>0</v>
      </c>
      <c r="AL9" s="12">
        <f t="shared" ref="AL9" si="26">--+IF(OR(AND(AM9=0,AM10=0,AM11=0),AND(AM9=1,AM10=0,AM11=0),AND(AM9=0,AM10=1,AM11=0),AND(AM9=0,AM10=0,AM11=1)),0,1)</f>
        <v>0</v>
      </c>
    </row>
    <row r="10" spans="1:39" x14ac:dyDescent="0.25">
      <c r="F10" t="s">
        <v>22</v>
      </c>
      <c r="G10" s="8"/>
      <c r="H10" s="13">
        <f>'Singola-cifra'!J2</f>
        <v>0</v>
      </c>
      <c r="I10" s="13">
        <f>'Singola-cifra'!K2</f>
        <v>0</v>
      </c>
      <c r="J10" s="13">
        <f>'Singola-cifra'!L2</f>
        <v>0</v>
      </c>
      <c r="K10" s="13">
        <f>'Singola-cifra'!M2</f>
        <v>0</v>
      </c>
      <c r="L10" s="13">
        <f>'Singola-cifra'!N2</f>
        <v>0</v>
      </c>
      <c r="M10" s="13">
        <f>'Singola-cifra'!O2</f>
        <v>0</v>
      </c>
      <c r="N10" s="13">
        <f>'Singola-cifra'!P2</f>
        <v>0</v>
      </c>
      <c r="O10" s="13">
        <f>'Singola-cifra'!Q2</f>
        <v>0</v>
      </c>
      <c r="P10" s="13">
        <f>'Singola-cifra'!R2</f>
        <v>0</v>
      </c>
      <c r="Q10" s="13">
        <f>'Singola-cifra'!S2</f>
        <v>0</v>
      </c>
      <c r="R10" s="13">
        <f>'Singola-cifra'!T2</f>
        <v>0</v>
      </c>
      <c r="S10" s="13">
        <f>'Singola-cifra'!U2</f>
        <v>0</v>
      </c>
      <c r="T10" s="13">
        <f>'Singola-cifra'!V2</f>
        <v>0</v>
      </c>
      <c r="U10" s="13">
        <f>'Singola-cifra'!W2</f>
        <v>0</v>
      </c>
      <c r="V10" s="13">
        <f>'Singola-cifra'!X2</f>
        <v>0</v>
      </c>
      <c r="W10" s="13">
        <f>'Singola-cifra'!Y2</f>
        <v>0</v>
      </c>
      <c r="X10" s="13">
        <f>'Singola-cifra'!Z2</f>
        <v>0</v>
      </c>
      <c r="Y10" s="13">
        <f>'Singola-cifra'!AA2</f>
        <v>0</v>
      </c>
      <c r="Z10" s="13">
        <f>'Singola-cifra'!AB2</f>
        <v>0</v>
      </c>
      <c r="AA10" s="13">
        <f>'Singola-cifra'!AC2</f>
        <v>0</v>
      </c>
      <c r="AB10" s="13">
        <f>'Singola-cifra'!AD2</f>
        <v>0</v>
      </c>
      <c r="AC10" s="13">
        <f>'Singola-cifra'!AE2</f>
        <v>0</v>
      </c>
      <c r="AD10" s="13">
        <f>'Singola-cifra'!AF2</f>
        <v>0</v>
      </c>
      <c r="AE10" s="13">
        <f>'Singola-cifra'!AG2</f>
        <v>0</v>
      </c>
      <c r="AF10" s="13">
        <f>'Singola-cifra'!AH2</f>
        <v>0</v>
      </c>
      <c r="AG10" s="13">
        <f>'Singola-cifra'!AI2</f>
        <v>0</v>
      </c>
      <c r="AH10" s="13">
        <f>'Singola-cifra'!AJ2</f>
        <v>0</v>
      </c>
      <c r="AI10" s="13">
        <f>'Singola-cifra'!AK2</f>
        <v>0</v>
      </c>
      <c r="AJ10" s="13">
        <f>'Singola-cifra'!AL2</f>
        <v>0</v>
      </c>
      <c r="AK10" s="13">
        <f>'Singola-cifra'!AM2</f>
        <v>0</v>
      </c>
      <c r="AL10" s="13">
        <f>'Singola-cifra'!AN2</f>
        <v>0</v>
      </c>
      <c r="AM10" s="13">
        <f>'Singola-cifra'!AO2</f>
        <v>0</v>
      </c>
    </row>
    <row r="11" spans="1:39" x14ac:dyDescent="0.25">
      <c r="F11" t="s">
        <v>25</v>
      </c>
      <c r="G11" s="8"/>
      <c r="H11" s="15">
        <f>H5</f>
        <v>0</v>
      </c>
      <c r="I11" s="15">
        <f t="shared" ref="I11:AM11" si="27">I5</f>
        <v>0</v>
      </c>
      <c r="J11" s="15">
        <f t="shared" si="27"/>
        <v>0</v>
      </c>
      <c r="K11" s="15">
        <f t="shared" si="27"/>
        <v>0</v>
      </c>
      <c r="L11" s="15">
        <f t="shared" si="27"/>
        <v>0</v>
      </c>
      <c r="M11" s="15">
        <f t="shared" si="27"/>
        <v>0</v>
      </c>
      <c r="N11" s="15">
        <f t="shared" si="27"/>
        <v>0</v>
      </c>
      <c r="O11" s="15">
        <f t="shared" si="27"/>
        <v>0</v>
      </c>
      <c r="P11" s="15">
        <f t="shared" si="27"/>
        <v>0</v>
      </c>
      <c r="Q11" s="15">
        <f t="shared" si="27"/>
        <v>0</v>
      </c>
      <c r="R11" s="15">
        <f t="shared" si="27"/>
        <v>0</v>
      </c>
      <c r="S11" s="15">
        <f t="shared" si="27"/>
        <v>0</v>
      </c>
      <c r="T11" s="15">
        <f t="shared" si="27"/>
        <v>0</v>
      </c>
      <c r="U11" s="15">
        <f t="shared" si="27"/>
        <v>0</v>
      </c>
      <c r="V11" s="15">
        <f t="shared" si="27"/>
        <v>0</v>
      </c>
      <c r="W11" s="15">
        <f t="shared" si="27"/>
        <v>0</v>
      </c>
      <c r="X11" s="15">
        <f t="shared" si="27"/>
        <v>0</v>
      </c>
      <c r="Y11" s="15">
        <f t="shared" si="27"/>
        <v>0</v>
      </c>
      <c r="Z11" s="15">
        <f t="shared" si="27"/>
        <v>0</v>
      </c>
      <c r="AA11" s="15">
        <f t="shared" si="27"/>
        <v>0</v>
      </c>
      <c r="AB11" s="15">
        <f t="shared" si="27"/>
        <v>0</v>
      </c>
      <c r="AC11" s="15">
        <f t="shared" si="27"/>
        <v>0</v>
      </c>
      <c r="AD11" s="15">
        <f t="shared" si="27"/>
        <v>0</v>
      </c>
      <c r="AE11" s="15">
        <f t="shared" si="27"/>
        <v>0</v>
      </c>
      <c r="AF11" s="15">
        <f t="shared" si="27"/>
        <v>0</v>
      </c>
      <c r="AG11" s="15">
        <f t="shared" si="27"/>
        <v>0</v>
      </c>
      <c r="AH11" s="15">
        <f t="shared" si="27"/>
        <v>0</v>
      </c>
      <c r="AI11" s="15">
        <f t="shared" si="27"/>
        <v>0</v>
      </c>
      <c r="AJ11" s="15">
        <f t="shared" si="27"/>
        <v>0</v>
      </c>
      <c r="AK11" s="15">
        <f t="shared" si="27"/>
        <v>0</v>
      </c>
      <c r="AL11" s="15">
        <f t="shared" si="27"/>
        <v>0</v>
      </c>
      <c r="AM11" s="15">
        <f t="shared" si="27"/>
        <v>0</v>
      </c>
    </row>
    <row r="12" spans="1:39" x14ac:dyDescent="0.25">
      <c r="F12" t="s">
        <v>20</v>
      </c>
      <c r="G12" s="8"/>
      <c r="H12" s="16">
        <f t="shared" ref="H12:AM12" si="28">IF(OR(AND(H9=0,H10=0,H11=0),AND(H9=1,H10=1,H11=0),AND(H9=0,H10=1,H11=1),AND(H9=1,H10=0,H11=1)),0,1)</f>
        <v>0</v>
      </c>
      <c r="I12" s="16">
        <f t="shared" si="28"/>
        <v>0</v>
      </c>
      <c r="J12" s="16">
        <f t="shared" si="28"/>
        <v>0</v>
      </c>
      <c r="K12" s="16">
        <f t="shared" si="28"/>
        <v>0</v>
      </c>
      <c r="L12" s="16">
        <f t="shared" si="28"/>
        <v>0</v>
      </c>
      <c r="M12" s="16">
        <f t="shared" si="28"/>
        <v>0</v>
      </c>
      <c r="N12" s="16">
        <f t="shared" si="28"/>
        <v>0</v>
      </c>
      <c r="O12" s="16">
        <f t="shared" si="28"/>
        <v>0</v>
      </c>
      <c r="P12" s="16">
        <f t="shared" si="28"/>
        <v>0</v>
      </c>
      <c r="Q12" s="16">
        <f t="shared" si="28"/>
        <v>0</v>
      </c>
      <c r="R12" s="16">
        <f t="shared" si="28"/>
        <v>0</v>
      </c>
      <c r="S12" s="16">
        <f t="shared" si="28"/>
        <v>0</v>
      </c>
      <c r="T12" s="16">
        <f t="shared" si="28"/>
        <v>0</v>
      </c>
      <c r="U12" s="16">
        <f t="shared" si="28"/>
        <v>0</v>
      </c>
      <c r="V12" s="16">
        <f t="shared" si="28"/>
        <v>0</v>
      </c>
      <c r="W12" s="16">
        <f t="shared" si="28"/>
        <v>0</v>
      </c>
      <c r="X12" s="16">
        <f t="shared" si="28"/>
        <v>0</v>
      </c>
      <c r="Y12" s="16">
        <f t="shared" si="28"/>
        <v>0</v>
      </c>
      <c r="Z12" s="16">
        <f t="shared" si="28"/>
        <v>0</v>
      </c>
      <c r="AA12" s="16">
        <f t="shared" si="28"/>
        <v>0</v>
      </c>
      <c r="AB12" s="16">
        <f t="shared" si="28"/>
        <v>0</v>
      </c>
      <c r="AC12" s="16">
        <f t="shared" si="28"/>
        <v>0</v>
      </c>
      <c r="AD12" s="16">
        <f t="shared" si="28"/>
        <v>0</v>
      </c>
      <c r="AE12" s="16">
        <f t="shared" si="28"/>
        <v>0</v>
      </c>
      <c r="AF12" s="16">
        <f t="shared" si="28"/>
        <v>0</v>
      </c>
      <c r="AG12" s="16">
        <f t="shared" si="28"/>
        <v>0</v>
      </c>
      <c r="AH12" s="16">
        <f t="shared" si="28"/>
        <v>0</v>
      </c>
      <c r="AI12" s="16">
        <f t="shared" si="28"/>
        <v>0</v>
      </c>
      <c r="AJ12" s="16">
        <f t="shared" si="28"/>
        <v>0</v>
      </c>
      <c r="AK12" s="16">
        <f t="shared" si="28"/>
        <v>0</v>
      </c>
      <c r="AL12" s="16">
        <f t="shared" si="28"/>
        <v>0</v>
      </c>
      <c r="AM12" s="16">
        <f t="shared" si="28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A382D-AD63-4FE9-A2A3-537E4A0ADA57}">
  <dimension ref="A1:AV106"/>
  <sheetViews>
    <sheetView topLeftCell="J1" workbookViewId="0">
      <selection activeCell="AV3" sqref="AV3"/>
    </sheetView>
  </sheetViews>
  <sheetFormatPr defaultRowHeight="15" x14ac:dyDescent="0.25"/>
  <cols>
    <col min="1" max="1" width="10.5703125" bestFit="1" customWidth="1"/>
    <col min="2" max="2" width="33.85546875" bestFit="1" customWidth="1"/>
  </cols>
  <sheetData>
    <row r="1" spans="1:48" x14ac:dyDescent="0.25">
      <c r="A1" t="s">
        <v>20</v>
      </c>
      <c r="B1" t="str">
        <f>CONCATENATE(Q106,R106,S106,T106,U106,V106,W106,X106,Y106,Z106,AA106,AB106,AC106,AD106,AE106,AF106,AG106,AH106,AI106,AJ106,AK106,AL106,AM106,AN106,AO106,AP106,AQ106,AR106,AS106,AT106,AU106,AV106)</f>
        <v>00000000000000000000000000000000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  <c r="AK1">
        <v>21</v>
      </c>
      <c r="AL1">
        <v>22</v>
      </c>
      <c r="AM1">
        <v>23</v>
      </c>
      <c r="AN1">
        <v>24</v>
      </c>
      <c r="AO1">
        <v>25</v>
      </c>
      <c r="AP1">
        <v>26</v>
      </c>
      <c r="AQ1">
        <v>27</v>
      </c>
      <c r="AR1">
        <v>28</v>
      </c>
      <c r="AS1">
        <v>29</v>
      </c>
      <c r="AT1">
        <v>30</v>
      </c>
      <c r="AU1">
        <v>31</v>
      </c>
      <c r="AV1">
        <v>32</v>
      </c>
    </row>
    <row r="2" spans="1:48" x14ac:dyDescent="0.25">
      <c r="AG2">
        <f>'Singola-cifra'!Z2</f>
        <v>0</v>
      </c>
      <c r="AH2">
        <f>'Singola-cifra'!AA2</f>
        <v>0</v>
      </c>
      <c r="AI2">
        <f>'Singola-cifra'!AB2</f>
        <v>0</v>
      </c>
      <c r="AJ2">
        <f>'Singola-cifra'!AC2</f>
        <v>0</v>
      </c>
      <c r="AK2">
        <f>'Singola-cifra'!AD2</f>
        <v>0</v>
      </c>
      <c r="AL2">
        <f>'Singola-cifra'!AE2</f>
        <v>0</v>
      </c>
      <c r="AM2">
        <f>'Singola-cifra'!AF2</f>
        <v>0</v>
      </c>
      <c r="AN2">
        <f>'Singola-cifra'!AG2</f>
        <v>0</v>
      </c>
      <c r="AO2">
        <f>'Singola-cifra'!AH2</f>
        <v>0</v>
      </c>
      <c r="AP2">
        <f>'Singola-cifra'!AI2</f>
        <v>0</v>
      </c>
      <c r="AQ2">
        <f>'Singola-cifra'!AJ2</f>
        <v>0</v>
      </c>
      <c r="AR2">
        <f>'Singola-cifra'!AK2</f>
        <v>0</v>
      </c>
      <c r="AS2">
        <f>'Singola-cifra'!AL2</f>
        <v>0</v>
      </c>
      <c r="AT2">
        <f>'Singola-cifra'!AM2</f>
        <v>0</v>
      </c>
      <c r="AU2">
        <f>'Singola-cifra'!AN2</f>
        <v>0</v>
      </c>
      <c r="AV2">
        <f>'Singola-cifra'!AO2</f>
        <v>0</v>
      </c>
    </row>
    <row r="3" spans="1:48" x14ac:dyDescent="0.25">
      <c r="AG3">
        <f>'Singola-cifra'!Z3</f>
        <v>0</v>
      </c>
      <c r="AH3">
        <f>'Singola-cifra'!AA3</f>
        <v>0</v>
      </c>
      <c r="AI3">
        <f>'Singola-cifra'!AB3</f>
        <v>0</v>
      </c>
      <c r="AJ3">
        <f>'Singola-cifra'!AC3</f>
        <v>0</v>
      </c>
      <c r="AK3">
        <f>'Singola-cifra'!AD3</f>
        <v>0</v>
      </c>
      <c r="AL3">
        <f>'Singola-cifra'!AE3</f>
        <v>0</v>
      </c>
      <c r="AM3">
        <f>'Singola-cifra'!AF3</f>
        <v>0</v>
      </c>
      <c r="AN3">
        <f>'Singola-cifra'!AG3</f>
        <v>0</v>
      </c>
      <c r="AO3">
        <f>'Singola-cifra'!AH3</f>
        <v>0</v>
      </c>
      <c r="AP3">
        <f>'Singola-cifra'!AI3</f>
        <v>0</v>
      </c>
      <c r="AQ3">
        <f>'Singola-cifra'!AJ3</f>
        <v>0</v>
      </c>
      <c r="AR3">
        <f>'Singola-cifra'!AK3</f>
        <v>0</v>
      </c>
      <c r="AS3">
        <f>'Singola-cifra'!AL3</f>
        <v>0</v>
      </c>
      <c r="AT3">
        <f>'Singola-cifra'!AM3</f>
        <v>0</v>
      </c>
      <c r="AU3">
        <f>'Singola-cifra'!AN3</f>
        <v>0</v>
      </c>
      <c r="AV3">
        <f>'Singola-cifra'!AO3</f>
        <v>0</v>
      </c>
    </row>
    <row r="5" spans="1:48" x14ac:dyDescent="0.25">
      <c r="P5" s="12">
        <f t="shared" ref="P5:AU5" si="0">--+IF(OR(AND(Q5=0,Q6=0,Q7=0),AND(Q5=1,Q6=0,Q7=0),AND(Q5=0,Q6=1,Q7=0),AND(Q5=0,Q6=0,Q7=1)),0,1)</f>
        <v>0</v>
      </c>
      <c r="Q5" s="12">
        <f t="shared" si="0"/>
        <v>0</v>
      </c>
      <c r="R5" s="12">
        <f t="shared" si="0"/>
        <v>0</v>
      </c>
      <c r="S5" s="12">
        <f t="shared" si="0"/>
        <v>0</v>
      </c>
      <c r="T5" s="12">
        <f t="shared" si="0"/>
        <v>0</v>
      </c>
      <c r="U5" s="12">
        <f t="shared" si="0"/>
        <v>0</v>
      </c>
      <c r="V5" s="12">
        <f t="shared" si="0"/>
        <v>0</v>
      </c>
      <c r="W5" s="12">
        <f t="shared" si="0"/>
        <v>0</v>
      </c>
      <c r="X5" s="12">
        <f t="shared" si="0"/>
        <v>0</v>
      </c>
      <c r="Y5" s="12">
        <f t="shared" si="0"/>
        <v>0</v>
      </c>
      <c r="Z5" s="12">
        <f t="shared" si="0"/>
        <v>0</v>
      </c>
      <c r="AA5" s="12">
        <f t="shared" si="0"/>
        <v>0</v>
      </c>
      <c r="AB5" s="12">
        <f t="shared" si="0"/>
        <v>0</v>
      </c>
      <c r="AC5" s="12">
        <f t="shared" si="0"/>
        <v>0</v>
      </c>
      <c r="AD5" s="12">
        <f t="shared" si="0"/>
        <v>0</v>
      </c>
      <c r="AE5" s="12">
        <f t="shared" si="0"/>
        <v>0</v>
      </c>
      <c r="AF5" s="12">
        <f t="shared" si="0"/>
        <v>0</v>
      </c>
      <c r="AG5" s="12">
        <f t="shared" si="0"/>
        <v>0</v>
      </c>
      <c r="AH5" s="12">
        <f t="shared" si="0"/>
        <v>0</v>
      </c>
      <c r="AI5" s="12">
        <f t="shared" si="0"/>
        <v>0</v>
      </c>
      <c r="AJ5" s="12">
        <f t="shared" si="0"/>
        <v>0</v>
      </c>
      <c r="AK5" s="12">
        <f t="shared" si="0"/>
        <v>0</v>
      </c>
      <c r="AL5" s="12">
        <f t="shared" si="0"/>
        <v>0</v>
      </c>
      <c r="AM5" s="12">
        <f t="shared" si="0"/>
        <v>0</v>
      </c>
      <c r="AN5" s="12">
        <f t="shared" si="0"/>
        <v>0</v>
      </c>
      <c r="AO5" s="12">
        <f t="shared" si="0"/>
        <v>0</v>
      </c>
      <c r="AP5" s="12">
        <f t="shared" si="0"/>
        <v>0</v>
      </c>
      <c r="AQ5" s="12">
        <f t="shared" si="0"/>
        <v>0</v>
      </c>
      <c r="AR5" s="12">
        <f t="shared" si="0"/>
        <v>0</v>
      </c>
      <c r="AS5" s="12">
        <f t="shared" si="0"/>
        <v>0</v>
      </c>
      <c r="AT5" s="12">
        <f t="shared" si="0"/>
        <v>0</v>
      </c>
      <c r="AU5" s="12">
        <f t="shared" si="0"/>
        <v>0</v>
      </c>
    </row>
    <row r="6" spans="1:48" x14ac:dyDescent="0.25">
      <c r="Q6">
        <f t="shared" ref="Q6:AU6" si="1">$AV$3*Q2</f>
        <v>0</v>
      </c>
      <c r="R6">
        <f t="shared" si="1"/>
        <v>0</v>
      </c>
      <c r="S6">
        <f t="shared" si="1"/>
        <v>0</v>
      </c>
      <c r="T6">
        <f t="shared" si="1"/>
        <v>0</v>
      </c>
      <c r="U6">
        <f t="shared" si="1"/>
        <v>0</v>
      </c>
      <c r="V6">
        <f t="shared" si="1"/>
        <v>0</v>
      </c>
      <c r="W6">
        <f t="shared" si="1"/>
        <v>0</v>
      </c>
      <c r="X6">
        <f t="shared" si="1"/>
        <v>0</v>
      </c>
      <c r="Y6">
        <f t="shared" si="1"/>
        <v>0</v>
      </c>
      <c r="Z6">
        <f t="shared" si="1"/>
        <v>0</v>
      </c>
      <c r="AA6">
        <f t="shared" si="1"/>
        <v>0</v>
      </c>
      <c r="AB6">
        <f t="shared" si="1"/>
        <v>0</v>
      </c>
      <c r="AC6">
        <f t="shared" si="1"/>
        <v>0</v>
      </c>
      <c r="AD6">
        <f t="shared" si="1"/>
        <v>0</v>
      </c>
      <c r="AE6">
        <f t="shared" si="1"/>
        <v>0</v>
      </c>
      <c r="AF6">
        <f t="shared" si="1"/>
        <v>0</v>
      </c>
      <c r="AG6">
        <f t="shared" si="1"/>
        <v>0</v>
      </c>
      <c r="AH6">
        <f t="shared" si="1"/>
        <v>0</v>
      </c>
      <c r="AI6">
        <f t="shared" si="1"/>
        <v>0</v>
      </c>
      <c r="AJ6">
        <f t="shared" si="1"/>
        <v>0</v>
      </c>
      <c r="AK6">
        <f t="shared" si="1"/>
        <v>0</v>
      </c>
      <c r="AL6">
        <f t="shared" si="1"/>
        <v>0</v>
      </c>
      <c r="AM6">
        <f t="shared" si="1"/>
        <v>0</v>
      </c>
      <c r="AN6">
        <f t="shared" si="1"/>
        <v>0</v>
      </c>
      <c r="AO6">
        <f t="shared" si="1"/>
        <v>0</v>
      </c>
      <c r="AP6">
        <f t="shared" si="1"/>
        <v>0</v>
      </c>
      <c r="AQ6">
        <f t="shared" si="1"/>
        <v>0</v>
      </c>
      <c r="AR6">
        <f t="shared" si="1"/>
        <v>0</v>
      </c>
      <c r="AS6">
        <f t="shared" si="1"/>
        <v>0</v>
      </c>
      <c r="AT6">
        <f t="shared" si="1"/>
        <v>0</v>
      </c>
      <c r="AU6">
        <f t="shared" si="1"/>
        <v>0</v>
      </c>
      <c r="AV6">
        <f>$AV$3*AV2</f>
        <v>0</v>
      </c>
    </row>
    <row r="7" spans="1:48" x14ac:dyDescent="0.25">
      <c r="Q7">
        <f t="shared" ref="Q7:AT7" si="2">$AU$3*R2</f>
        <v>0</v>
      </c>
      <c r="R7">
        <f t="shared" si="2"/>
        <v>0</v>
      </c>
      <c r="S7">
        <f t="shared" si="2"/>
        <v>0</v>
      </c>
      <c r="T7">
        <f t="shared" si="2"/>
        <v>0</v>
      </c>
      <c r="U7">
        <f t="shared" si="2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>
        <f t="shared" si="2"/>
        <v>0</v>
      </c>
      <c r="AA7">
        <f t="shared" si="2"/>
        <v>0</v>
      </c>
      <c r="AB7">
        <f t="shared" si="2"/>
        <v>0</v>
      </c>
      <c r="AC7">
        <f t="shared" si="2"/>
        <v>0</v>
      </c>
      <c r="AD7">
        <f t="shared" si="2"/>
        <v>0</v>
      </c>
      <c r="AE7">
        <f t="shared" si="2"/>
        <v>0</v>
      </c>
      <c r="AF7">
        <f t="shared" si="2"/>
        <v>0</v>
      </c>
      <c r="AG7">
        <f t="shared" si="2"/>
        <v>0</v>
      </c>
      <c r="AH7">
        <f t="shared" si="2"/>
        <v>0</v>
      </c>
      <c r="AI7">
        <f t="shared" si="2"/>
        <v>0</v>
      </c>
      <c r="AJ7">
        <f t="shared" si="2"/>
        <v>0</v>
      </c>
      <c r="AK7">
        <f t="shared" si="2"/>
        <v>0</v>
      </c>
      <c r="AL7">
        <f t="shared" si="2"/>
        <v>0</v>
      </c>
      <c r="AM7">
        <f t="shared" si="2"/>
        <v>0</v>
      </c>
      <c r="AN7">
        <f t="shared" si="2"/>
        <v>0</v>
      </c>
      <c r="AO7">
        <f t="shared" si="2"/>
        <v>0</v>
      </c>
      <c r="AP7">
        <f t="shared" si="2"/>
        <v>0</v>
      </c>
      <c r="AQ7">
        <f t="shared" si="2"/>
        <v>0</v>
      </c>
      <c r="AR7">
        <f t="shared" si="2"/>
        <v>0</v>
      </c>
      <c r="AS7">
        <f t="shared" si="2"/>
        <v>0</v>
      </c>
      <c r="AT7">
        <f t="shared" si="2"/>
        <v>0</v>
      </c>
      <c r="AU7">
        <f>$AU$3*AV2</f>
        <v>0</v>
      </c>
      <c r="AV7" s="21">
        <v>0</v>
      </c>
    </row>
    <row r="8" spans="1:48" x14ac:dyDescent="0.25">
      <c r="Q8" s="11">
        <f t="shared" ref="Q8:AV8" si="3">IF(OR(AND(Q5=0,Q6=0,Q7=0),AND(Q5=1,Q6=1,Q7=0),AND(Q5=0,Q6=1,Q7=1),AND(Q5=1,Q6=0,Q7=1)),0,1)</f>
        <v>0</v>
      </c>
      <c r="R8" s="11">
        <f t="shared" si="3"/>
        <v>0</v>
      </c>
      <c r="S8" s="11">
        <f t="shared" si="3"/>
        <v>0</v>
      </c>
      <c r="T8" s="11">
        <f t="shared" si="3"/>
        <v>0</v>
      </c>
      <c r="U8" s="11">
        <f t="shared" si="3"/>
        <v>0</v>
      </c>
      <c r="V8" s="11">
        <f t="shared" si="3"/>
        <v>0</v>
      </c>
      <c r="W8" s="11">
        <f t="shared" si="3"/>
        <v>0</v>
      </c>
      <c r="X8" s="11">
        <f t="shared" si="3"/>
        <v>0</v>
      </c>
      <c r="Y8" s="11">
        <f t="shared" si="3"/>
        <v>0</v>
      </c>
      <c r="Z8" s="11">
        <f t="shared" si="3"/>
        <v>0</v>
      </c>
      <c r="AA8" s="11">
        <f t="shared" si="3"/>
        <v>0</v>
      </c>
      <c r="AB8" s="11">
        <f t="shared" si="3"/>
        <v>0</v>
      </c>
      <c r="AC8" s="11">
        <f t="shared" si="3"/>
        <v>0</v>
      </c>
      <c r="AD8" s="11">
        <f t="shared" si="3"/>
        <v>0</v>
      </c>
      <c r="AE8" s="11">
        <f t="shared" si="3"/>
        <v>0</v>
      </c>
      <c r="AF8" s="11">
        <f t="shared" si="3"/>
        <v>0</v>
      </c>
      <c r="AG8" s="11">
        <f t="shared" si="3"/>
        <v>0</v>
      </c>
      <c r="AH8" s="11">
        <f t="shared" si="3"/>
        <v>0</v>
      </c>
      <c r="AI8" s="11">
        <f t="shared" si="3"/>
        <v>0</v>
      </c>
      <c r="AJ8" s="11">
        <f t="shared" si="3"/>
        <v>0</v>
      </c>
      <c r="AK8" s="11">
        <f t="shared" si="3"/>
        <v>0</v>
      </c>
      <c r="AL8" s="11">
        <f t="shared" si="3"/>
        <v>0</v>
      </c>
      <c r="AM8" s="11">
        <f t="shared" si="3"/>
        <v>0</v>
      </c>
      <c r="AN8" s="11">
        <f t="shared" si="3"/>
        <v>0</v>
      </c>
      <c r="AO8" s="11">
        <f t="shared" si="3"/>
        <v>0</v>
      </c>
      <c r="AP8" s="11">
        <f t="shared" si="3"/>
        <v>0</v>
      </c>
      <c r="AQ8" s="11">
        <f t="shared" si="3"/>
        <v>0</v>
      </c>
      <c r="AR8" s="11">
        <f t="shared" si="3"/>
        <v>0</v>
      </c>
      <c r="AS8" s="11">
        <f t="shared" si="3"/>
        <v>0</v>
      </c>
      <c r="AT8" s="11">
        <f t="shared" si="3"/>
        <v>0</v>
      </c>
      <c r="AU8" s="11">
        <f t="shared" si="3"/>
        <v>0</v>
      </c>
      <c r="AV8" s="11">
        <f t="shared" si="3"/>
        <v>0</v>
      </c>
    </row>
    <row r="12" spans="1:48" x14ac:dyDescent="0.25">
      <c r="P12" s="12">
        <f t="shared" ref="P12:AU12" si="4">--+IF(OR(AND(Q12=0,Q13=0,Q14=0),AND(Q12=1,Q13=0,Q14=0),AND(Q12=0,Q13=1,Q14=0),AND(Q12=0,Q13=0,Q14=1)),0,1)</f>
        <v>0</v>
      </c>
      <c r="Q12" s="12">
        <f t="shared" si="4"/>
        <v>0</v>
      </c>
      <c r="R12" s="12">
        <f t="shared" si="4"/>
        <v>0</v>
      </c>
      <c r="S12" s="12">
        <f t="shared" si="4"/>
        <v>0</v>
      </c>
      <c r="T12" s="12">
        <f t="shared" si="4"/>
        <v>0</v>
      </c>
      <c r="U12" s="12">
        <f t="shared" si="4"/>
        <v>0</v>
      </c>
      <c r="V12" s="12">
        <f t="shared" si="4"/>
        <v>0</v>
      </c>
      <c r="W12" s="12">
        <f t="shared" si="4"/>
        <v>0</v>
      </c>
      <c r="X12" s="12">
        <f t="shared" si="4"/>
        <v>0</v>
      </c>
      <c r="Y12" s="12">
        <f t="shared" si="4"/>
        <v>0</v>
      </c>
      <c r="Z12" s="12">
        <f t="shared" si="4"/>
        <v>0</v>
      </c>
      <c r="AA12" s="12">
        <f t="shared" si="4"/>
        <v>0</v>
      </c>
      <c r="AB12" s="12">
        <f t="shared" si="4"/>
        <v>0</v>
      </c>
      <c r="AC12" s="12">
        <f t="shared" si="4"/>
        <v>0</v>
      </c>
      <c r="AD12" s="12">
        <f t="shared" si="4"/>
        <v>0</v>
      </c>
      <c r="AE12" s="12">
        <f t="shared" si="4"/>
        <v>0</v>
      </c>
      <c r="AF12" s="12">
        <f t="shared" si="4"/>
        <v>0</v>
      </c>
      <c r="AG12" s="12">
        <f t="shared" si="4"/>
        <v>0</v>
      </c>
      <c r="AH12" s="12">
        <f t="shared" si="4"/>
        <v>0</v>
      </c>
      <c r="AI12" s="12">
        <f t="shared" si="4"/>
        <v>0</v>
      </c>
      <c r="AJ12" s="12">
        <f t="shared" si="4"/>
        <v>0</v>
      </c>
      <c r="AK12" s="12">
        <f t="shared" si="4"/>
        <v>0</v>
      </c>
      <c r="AL12" s="12">
        <f t="shared" si="4"/>
        <v>0</v>
      </c>
      <c r="AM12" s="12">
        <f t="shared" si="4"/>
        <v>0</v>
      </c>
      <c r="AN12" s="12">
        <f t="shared" si="4"/>
        <v>0</v>
      </c>
      <c r="AO12" s="12">
        <f t="shared" si="4"/>
        <v>0</v>
      </c>
      <c r="AP12" s="12">
        <f t="shared" si="4"/>
        <v>0</v>
      </c>
      <c r="AQ12" s="12">
        <f t="shared" si="4"/>
        <v>0</v>
      </c>
      <c r="AR12" s="12">
        <f t="shared" si="4"/>
        <v>0</v>
      </c>
      <c r="AS12" s="12">
        <f t="shared" si="4"/>
        <v>0</v>
      </c>
      <c r="AT12" s="12">
        <f t="shared" si="4"/>
        <v>0</v>
      </c>
      <c r="AU12" s="12">
        <f t="shared" si="4"/>
        <v>0</v>
      </c>
    </row>
    <row r="13" spans="1:48" x14ac:dyDescent="0.25">
      <c r="Q13" s="8">
        <f t="shared" ref="Q13:AU13" si="5">Q8</f>
        <v>0</v>
      </c>
      <c r="R13" s="8">
        <f t="shared" si="5"/>
        <v>0</v>
      </c>
      <c r="S13" s="8">
        <f t="shared" si="5"/>
        <v>0</v>
      </c>
      <c r="T13" s="8">
        <f t="shared" si="5"/>
        <v>0</v>
      </c>
      <c r="U13" s="8">
        <f t="shared" si="5"/>
        <v>0</v>
      </c>
      <c r="V13" s="8">
        <f t="shared" si="5"/>
        <v>0</v>
      </c>
      <c r="W13" s="8">
        <f t="shared" si="5"/>
        <v>0</v>
      </c>
      <c r="X13" s="8">
        <f t="shared" si="5"/>
        <v>0</v>
      </c>
      <c r="Y13" s="8">
        <f t="shared" si="5"/>
        <v>0</v>
      </c>
      <c r="Z13" s="8">
        <f t="shared" si="5"/>
        <v>0</v>
      </c>
      <c r="AA13" s="8">
        <f t="shared" si="5"/>
        <v>0</v>
      </c>
      <c r="AB13" s="8">
        <f t="shared" si="5"/>
        <v>0</v>
      </c>
      <c r="AC13" s="8">
        <f t="shared" si="5"/>
        <v>0</v>
      </c>
      <c r="AD13" s="8">
        <f t="shared" si="5"/>
        <v>0</v>
      </c>
      <c r="AE13" s="8">
        <f t="shared" si="5"/>
        <v>0</v>
      </c>
      <c r="AF13" s="8">
        <f t="shared" si="5"/>
        <v>0</v>
      </c>
      <c r="AG13" s="8">
        <f t="shared" si="5"/>
        <v>0</v>
      </c>
      <c r="AH13" s="8">
        <f t="shared" si="5"/>
        <v>0</v>
      </c>
      <c r="AI13" s="8">
        <f t="shared" si="5"/>
        <v>0</v>
      </c>
      <c r="AJ13" s="8">
        <f t="shared" si="5"/>
        <v>0</v>
      </c>
      <c r="AK13" s="8">
        <f t="shared" si="5"/>
        <v>0</v>
      </c>
      <c r="AL13" s="8">
        <f t="shared" si="5"/>
        <v>0</v>
      </c>
      <c r="AM13" s="8">
        <f t="shared" si="5"/>
        <v>0</v>
      </c>
      <c r="AN13" s="8">
        <f t="shared" si="5"/>
        <v>0</v>
      </c>
      <c r="AO13" s="8">
        <f t="shared" si="5"/>
        <v>0</v>
      </c>
      <c r="AP13" s="8">
        <f t="shared" si="5"/>
        <v>0</v>
      </c>
      <c r="AQ13" s="8">
        <f t="shared" si="5"/>
        <v>0</v>
      </c>
      <c r="AR13" s="8">
        <f t="shared" si="5"/>
        <v>0</v>
      </c>
      <c r="AS13" s="8">
        <f t="shared" si="5"/>
        <v>0</v>
      </c>
      <c r="AT13" s="8">
        <f t="shared" si="5"/>
        <v>0</v>
      </c>
      <c r="AU13" s="8">
        <f t="shared" si="5"/>
        <v>0</v>
      </c>
      <c r="AV13" s="8">
        <f>AV8</f>
        <v>0</v>
      </c>
    </row>
    <row r="14" spans="1:48" x14ac:dyDescent="0.25">
      <c r="Q14">
        <f t="shared" ref="Q14:AS14" si="6">$AT$3*S2</f>
        <v>0</v>
      </c>
      <c r="R14">
        <f t="shared" si="6"/>
        <v>0</v>
      </c>
      <c r="S14">
        <f t="shared" si="6"/>
        <v>0</v>
      </c>
      <c r="T14">
        <f t="shared" si="6"/>
        <v>0</v>
      </c>
      <c r="U14">
        <f t="shared" si="6"/>
        <v>0</v>
      </c>
      <c r="V14">
        <f t="shared" si="6"/>
        <v>0</v>
      </c>
      <c r="W14">
        <f t="shared" si="6"/>
        <v>0</v>
      </c>
      <c r="X14">
        <f t="shared" si="6"/>
        <v>0</v>
      </c>
      <c r="Y14">
        <f t="shared" si="6"/>
        <v>0</v>
      </c>
      <c r="Z14">
        <f t="shared" si="6"/>
        <v>0</v>
      </c>
      <c r="AA14">
        <f t="shared" si="6"/>
        <v>0</v>
      </c>
      <c r="AB14">
        <f t="shared" si="6"/>
        <v>0</v>
      </c>
      <c r="AC14">
        <f t="shared" si="6"/>
        <v>0</v>
      </c>
      <c r="AD14">
        <f t="shared" si="6"/>
        <v>0</v>
      </c>
      <c r="AE14">
        <f t="shared" si="6"/>
        <v>0</v>
      </c>
      <c r="AF14">
        <f t="shared" si="6"/>
        <v>0</v>
      </c>
      <c r="AG14">
        <f t="shared" si="6"/>
        <v>0</v>
      </c>
      <c r="AH14">
        <f t="shared" si="6"/>
        <v>0</v>
      </c>
      <c r="AI14">
        <f t="shared" si="6"/>
        <v>0</v>
      </c>
      <c r="AJ14">
        <f t="shared" si="6"/>
        <v>0</v>
      </c>
      <c r="AK14">
        <f t="shared" si="6"/>
        <v>0</v>
      </c>
      <c r="AL14">
        <f t="shared" si="6"/>
        <v>0</v>
      </c>
      <c r="AM14">
        <f t="shared" si="6"/>
        <v>0</v>
      </c>
      <c r="AN14">
        <f t="shared" si="6"/>
        <v>0</v>
      </c>
      <c r="AO14">
        <f t="shared" si="6"/>
        <v>0</v>
      </c>
      <c r="AP14">
        <f t="shared" si="6"/>
        <v>0</v>
      </c>
      <c r="AQ14">
        <f t="shared" si="6"/>
        <v>0</v>
      </c>
      <c r="AR14">
        <f t="shared" si="6"/>
        <v>0</v>
      </c>
      <c r="AS14">
        <f t="shared" si="6"/>
        <v>0</v>
      </c>
      <c r="AT14">
        <f>$AT$3*AV2</f>
        <v>0</v>
      </c>
      <c r="AU14" s="21">
        <v>0</v>
      </c>
      <c r="AV14" s="21">
        <v>0</v>
      </c>
    </row>
    <row r="15" spans="1:48" x14ac:dyDescent="0.25">
      <c r="Q15" s="11">
        <f t="shared" ref="Q15:AV15" si="7">IF(OR(AND(Q12=0,Q13=0,Q14=0),AND(Q12=1,Q13=1,Q14=0),AND(Q12=0,Q13=1,Q14=1),AND(Q12=1,Q13=0,Q14=1)),0,1)</f>
        <v>0</v>
      </c>
      <c r="R15" s="11">
        <f t="shared" si="7"/>
        <v>0</v>
      </c>
      <c r="S15" s="11">
        <f t="shared" si="7"/>
        <v>0</v>
      </c>
      <c r="T15" s="11">
        <f t="shared" si="7"/>
        <v>0</v>
      </c>
      <c r="U15" s="11">
        <f t="shared" si="7"/>
        <v>0</v>
      </c>
      <c r="V15" s="11">
        <f t="shared" si="7"/>
        <v>0</v>
      </c>
      <c r="W15" s="11">
        <f t="shared" si="7"/>
        <v>0</v>
      </c>
      <c r="X15" s="11">
        <f t="shared" si="7"/>
        <v>0</v>
      </c>
      <c r="Y15" s="11">
        <f t="shared" si="7"/>
        <v>0</v>
      </c>
      <c r="Z15" s="11">
        <f t="shared" si="7"/>
        <v>0</v>
      </c>
      <c r="AA15" s="11">
        <f t="shared" si="7"/>
        <v>0</v>
      </c>
      <c r="AB15" s="11">
        <f t="shared" si="7"/>
        <v>0</v>
      </c>
      <c r="AC15" s="11">
        <f t="shared" si="7"/>
        <v>0</v>
      </c>
      <c r="AD15" s="11">
        <f t="shared" si="7"/>
        <v>0</v>
      </c>
      <c r="AE15" s="11">
        <f t="shared" si="7"/>
        <v>0</v>
      </c>
      <c r="AF15" s="11">
        <f t="shared" si="7"/>
        <v>0</v>
      </c>
      <c r="AG15" s="11">
        <f t="shared" si="7"/>
        <v>0</v>
      </c>
      <c r="AH15" s="11">
        <f t="shared" si="7"/>
        <v>0</v>
      </c>
      <c r="AI15" s="11">
        <f t="shared" si="7"/>
        <v>0</v>
      </c>
      <c r="AJ15" s="11">
        <f t="shared" si="7"/>
        <v>0</v>
      </c>
      <c r="AK15" s="11">
        <f t="shared" si="7"/>
        <v>0</v>
      </c>
      <c r="AL15" s="11">
        <f t="shared" si="7"/>
        <v>0</v>
      </c>
      <c r="AM15" s="11">
        <f t="shared" si="7"/>
        <v>0</v>
      </c>
      <c r="AN15" s="11">
        <f t="shared" si="7"/>
        <v>0</v>
      </c>
      <c r="AO15" s="11">
        <f t="shared" si="7"/>
        <v>0</v>
      </c>
      <c r="AP15" s="11">
        <f t="shared" si="7"/>
        <v>0</v>
      </c>
      <c r="AQ15" s="11">
        <f t="shared" si="7"/>
        <v>0</v>
      </c>
      <c r="AR15" s="11">
        <f t="shared" si="7"/>
        <v>0</v>
      </c>
      <c r="AS15" s="11">
        <f t="shared" si="7"/>
        <v>0</v>
      </c>
      <c r="AT15" s="11">
        <f t="shared" si="7"/>
        <v>0</v>
      </c>
      <c r="AU15" s="11">
        <f t="shared" si="7"/>
        <v>0</v>
      </c>
      <c r="AV15" s="11">
        <f t="shared" si="7"/>
        <v>0</v>
      </c>
    </row>
    <row r="19" spans="16:48" x14ac:dyDescent="0.25">
      <c r="P19" s="12">
        <f t="shared" ref="P19:AU19" si="8">--+IF(OR(AND(Q19=0,Q20=0,Q21=0),AND(Q19=1,Q20=0,Q21=0),AND(Q19=0,Q20=1,Q21=0),AND(Q19=0,Q20=0,Q21=1)),0,1)</f>
        <v>0</v>
      </c>
      <c r="Q19" s="12">
        <f t="shared" si="8"/>
        <v>0</v>
      </c>
      <c r="R19" s="12">
        <f t="shared" si="8"/>
        <v>0</v>
      </c>
      <c r="S19" s="12">
        <f t="shared" si="8"/>
        <v>0</v>
      </c>
      <c r="T19" s="12">
        <f t="shared" si="8"/>
        <v>0</v>
      </c>
      <c r="U19" s="12">
        <f t="shared" si="8"/>
        <v>0</v>
      </c>
      <c r="V19" s="12">
        <f t="shared" si="8"/>
        <v>0</v>
      </c>
      <c r="W19" s="12">
        <f t="shared" si="8"/>
        <v>0</v>
      </c>
      <c r="X19" s="12">
        <f t="shared" si="8"/>
        <v>0</v>
      </c>
      <c r="Y19" s="12">
        <f t="shared" si="8"/>
        <v>0</v>
      </c>
      <c r="Z19" s="12">
        <f t="shared" si="8"/>
        <v>0</v>
      </c>
      <c r="AA19" s="12">
        <f t="shared" si="8"/>
        <v>0</v>
      </c>
      <c r="AB19" s="12">
        <f t="shared" si="8"/>
        <v>0</v>
      </c>
      <c r="AC19" s="12">
        <f t="shared" si="8"/>
        <v>0</v>
      </c>
      <c r="AD19" s="12">
        <f t="shared" si="8"/>
        <v>0</v>
      </c>
      <c r="AE19" s="12">
        <f t="shared" si="8"/>
        <v>0</v>
      </c>
      <c r="AF19" s="12">
        <f t="shared" si="8"/>
        <v>0</v>
      </c>
      <c r="AG19" s="12">
        <f t="shared" si="8"/>
        <v>0</v>
      </c>
      <c r="AH19" s="12">
        <f t="shared" si="8"/>
        <v>0</v>
      </c>
      <c r="AI19" s="12">
        <f t="shared" si="8"/>
        <v>0</v>
      </c>
      <c r="AJ19" s="12">
        <f t="shared" si="8"/>
        <v>0</v>
      </c>
      <c r="AK19" s="12">
        <f t="shared" si="8"/>
        <v>0</v>
      </c>
      <c r="AL19" s="12">
        <f t="shared" si="8"/>
        <v>0</v>
      </c>
      <c r="AM19" s="12">
        <f t="shared" si="8"/>
        <v>0</v>
      </c>
      <c r="AN19" s="12">
        <f t="shared" si="8"/>
        <v>0</v>
      </c>
      <c r="AO19" s="12">
        <f t="shared" si="8"/>
        <v>0</v>
      </c>
      <c r="AP19" s="12">
        <f t="shared" si="8"/>
        <v>0</v>
      </c>
      <c r="AQ19" s="12">
        <f t="shared" si="8"/>
        <v>0</v>
      </c>
      <c r="AR19" s="12">
        <f t="shared" si="8"/>
        <v>0</v>
      </c>
      <c r="AS19" s="12">
        <f t="shared" si="8"/>
        <v>0</v>
      </c>
      <c r="AT19" s="12">
        <f t="shared" si="8"/>
        <v>0</v>
      </c>
      <c r="AU19" s="12">
        <f t="shared" si="8"/>
        <v>0</v>
      </c>
    </row>
    <row r="20" spans="16:48" x14ac:dyDescent="0.25">
      <c r="Q20" s="8">
        <f t="shared" ref="Q20:AU20" si="9">Q15</f>
        <v>0</v>
      </c>
      <c r="R20" s="8">
        <f t="shared" si="9"/>
        <v>0</v>
      </c>
      <c r="S20" s="8">
        <f t="shared" si="9"/>
        <v>0</v>
      </c>
      <c r="T20" s="8">
        <f t="shared" si="9"/>
        <v>0</v>
      </c>
      <c r="U20" s="8">
        <f t="shared" si="9"/>
        <v>0</v>
      </c>
      <c r="V20" s="8">
        <f t="shared" si="9"/>
        <v>0</v>
      </c>
      <c r="W20" s="8">
        <f t="shared" si="9"/>
        <v>0</v>
      </c>
      <c r="X20" s="8">
        <f t="shared" si="9"/>
        <v>0</v>
      </c>
      <c r="Y20" s="8">
        <f t="shared" si="9"/>
        <v>0</v>
      </c>
      <c r="Z20" s="8">
        <f t="shared" si="9"/>
        <v>0</v>
      </c>
      <c r="AA20" s="8">
        <f t="shared" si="9"/>
        <v>0</v>
      </c>
      <c r="AB20" s="8">
        <f t="shared" si="9"/>
        <v>0</v>
      </c>
      <c r="AC20" s="8">
        <f t="shared" si="9"/>
        <v>0</v>
      </c>
      <c r="AD20" s="8">
        <f t="shared" si="9"/>
        <v>0</v>
      </c>
      <c r="AE20" s="8">
        <f t="shared" si="9"/>
        <v>0</v>
      </c>
      <c r="AF20" s="8">
        <f t="shared" si="9"/>
        <v>0</v>
      </c>
      <c r="AG20" s="8">
        <f t="shared" si="9"/>
        <v>0</v>
      </c>
      <c r="AH20" s="8">
        <f t="shared" si="9"/>
        <v>0</v>
      </c>
      <c r="AI20" s="8">
        <f t="shared" si="9"/>
        <v>0</v>
      </c>
      <c r="AJ20" s="8">
        <f t="shared" si="9"/>
        <v>0</v>
      </c>
      <c r="AK20" s="8">
        <f t="shared" si="9"/>
        <v>0</v>
      </c>
      <c r="AL20" s="8">
        <f t="shared" si="9"/>
        <v>0</v>
      </c>
      <c r="AM20" s="8">
        <f t="shared" si="9"/>
        <v>0</v>
      </c>
      <c r="AN20" s="8">
        <f t="shared" si="9"/>
        <v>0</v>
      </c>
      <c r="AO20" s="8">
        <f t="shared" si="9"/>
        <v>0</v>
      </c>
      <c r="AP20" s="8">
        <f t="shared" si="9"/>
        <v>0</v>
      </c>
      <c r="AQ20" s="8">
        <f t="shared" si="9"/>
        <v>0</v>
      </c>
      <c r="AR20" s="8">
        <f t="shared" si="9"/>
        <v>0</v>
      </c>
      <c r="AS20" s="8">
        <f t="shared" si="9"/>
        <v>0</v>
      </c>
      <c r="AT20" s="8">
        <f t="shared" si="9"/>
        <v>0</v>
      </c>
      <c r="AU20" s="8">
        <f t="shared" si="9"/>
        <v>0</v>
      </c>
      <c r="AV20" s="8">
        <f>AV15</f>
        <v>0</v>
      </c>
    </row>
    <row r="21" spans="16:48" x14ac:dyDescent="0.25">
      <c r="Q21">
        <f t="shared" ref="Q21:AR21" si="10">$AS$3*T2</f>
        <v>0</v>
      </c>
      <c r="R21">
        <f t="shared" si="10"/>
        <v>0</v>
      </c>
      <c r="S21">
        <f t="shared" si="10"/>
        <v>0</v>
      </c>
      <c r="T21">
        <f t="shared" si="10"/>
        <v>0</v>
      </c>
      <c r="U21">
        <f t="shared" si="10"/>
        <v>0</v>
      </c>
      <c r="V21">
        <f t="shared" si="10"/>
        <v>0</v>
      </c>
      <c r="W21">
        <f t="shared" si="10"/>
        <v>0</v>
      </c>
      <c r="X21">
        <f t="shared" si="10"/>
        <v>0</v>
      </c>
      <c r="Y21">
        <f t="shared" si="10"/>
        <v>0</v>
      </c>
      <c r="Z21">
        <f t="shared" si="10"/>
        <v>0</v>
      </c>
      <c r="AA21">
        <f t="shared" si="10"/>
        <v>0</v>
      </c>
      <c r="AB21">
        <f t="shared" si="10"/>
        <v>0</v>
      </c>
      <c r="AC21">
        <f t="shared" si="10"/>
        <v>0</v>
      </c>
      <c r="AD21">
        <f t="shared" si="10"/>
        <v>0</v>
      </c>
      <c r="AE21">
        <f t="shared" si="10"/>
        <v>0</v>
      </c>
      <c r="AF21">
        <f t="shared" si="10"/>
        <v>0</v>
      </c>
      <c r="AG21">
        <f t="shared" si="10"/>
        <v>0</v>
      </c>
      <c r="AH21">
        <f t="shared" si="10"/>
        <v>0</v>
      </c>
      <c r="AI21">
        <f t="shared" si="10"/>
        <v>0</v>
      </c>
      <c r="AJ21">
        <f t="shared" si="10"/>
        <v>0</v>
      </c>
      <c r="AK21">
        <f t="shared" si="10"/>
        <v>0</v>
      </c>
      <c r="AL21">
        <f t="shared" si="10"/>
        <v>0</v>
      </c>
      <c r="AM21">
        <f t="shared" si="10"/>
        <v>0</v>
      </c>
      <c r="AN21">
        <f t="shared" si="10"/>
        <v>0</v>
      </c>
      <c r="AO21">
        <f t="shared" si="10"/>
        <v>0</v>
      </c>
      <c r="AP21">
        <f t="shared" si="10"/>
        <v>0</v>
      </c>
      <c r="AQ21">
        <f t="shared" si="10"/>
        <v>0</v>
      </c>
      <c r="AR21">
        <f t="shared" si="10"/>
        <v>0</v>
      </c>
      <c r="AS21">
        <f>$AS$3*AV2</f>
        <v>0</v>
      </c>
      <c r="AT21" s="21">
        <v>0</v>
      </c>
      <c r="AU21" s="21">
        <v>0</v>
      </c>
      <c r="AV21" s="21">
        <v>0</v>
      </c>
    </row>
    <row r="22" spans="16:48" x14ac:dyDescent="0.25">
      <c r="Q22" s="11">
        <f t="shared" ref="Q22:AV22" si="11">IF(OR(AND(Q19=0,Q20=0,Q21=0),AND(Q19=1,Q20=1,Q21=0),AND(Q19=0,Q20=1,Q21=1),AND(Q19=1,Q20=0,Q21=1)),0,1)</f>
        <v>0</v>
      </c>
      <c r="R22" s="11">
        <f t="shared" si="11"/>
        <v>0</v>
      </c>
      <c r="S22" s="11">
        <f t="shared" si="11"/>
        <v>0</v>
      </c>
      <c r="T22" s="11">
        <f t="shared" si="11"/>
        <v>0</v>
      </c>
      <c r="U22" s="11">
        <f t="shared" si="11"/>
        <v>0</v>
      </c>
      <c r="V22" s="11">
        <f t="shared" si="11"/>
        <v>0</v>
      </c>
      <c r="W22" s="11">
        <f t="shared" si="11"/>
        <v>0</v>
      </c>
      <c r="X22" s="11">
        <f t="shared" si="11"/>
        <v>0</v>
      </c>
      <c r="Y22" s="11">
        <f t="shared" si="11"/>
        <v>0</v>
      </c>
      <c r="Z22" s="11">
        <f t="shared" si="11"/>
        <v>0</v>
      </c>
      <c r="AA22" s="11">
        <f t="shared" si="11"/>
        <v>0</v>
      </c>
      <c r="AB22" s="11">
        <f t="shared" si="11"/>
        <v>0</v>
      </c>
      <c r="AC22" s="11">
        <f t="shared" si="11"/>
        <v>0</v>
      </c>
      <c r="AD22" s="11">
        <f t="shared" si="11"/>
        <v>0</v>
      </c>
      <c r="AE22" s="11">
        <f t="shared" si="11"/>
        <v>0</v>
      </c>
      <c r="AF22" s="11">
        <f t="shared" si="11"/>
        <v>0</v>
      </c>
      <c r="AG22" s="11">
        <f t="shared" si="11"/>
        <v>0</v>
      </c>
      <c r="AH22" s="11">
        <f t="shared" si="11"/>
        <v>0</v>
      </c>
      <c r="AI22" s="11">
        <f t="shared" si="11"/>
        <v>0</v>
      </c>
      <c r="AJ22" s="11">
        <f t="shared" si="11"/>
        <v>0</v>
      </c>
      <c r="AK22" s="11">
        <f t="shared" si="11"/>
        <v>0</v>
      </c>
      <c r="AL22" s="11">
        <f t="shared" si="11"/>
        <v>0</v>
      </c>
      <c r="AM22" s="11">
        <f t="shared" si="11"/>
        <v>0</v>
      </c>
      <c r="AN22" s="11">
        <f t="shared" si="11"/>
        <v>0</v>
      </c>
      <c r="AO22" s="11">
        <f t="shared" si="11"/>
        <v>0</v>
      </c>
      <c r="AP22" s="11">
        <f t="shared" si="11"/>
        <v>0</v>
      </c>
      <c r="AQ22" s="11">
        <f t="shared" si="11"/>
        <v>0</v>
      </c>
      <c r="AR22" s="11">
        <f t="shared" si="11"/>
        <v>0</v>
      </c>
      <c r="AS22" s="11">
        <f t="shared" si="11"/>
        <v>0</v>
      </c>
      <c r="AT22" s="11">
        <f t="shared" si="11"/>
        <v>0</v>
      </c>
      <c r="AU22" s="11">
        <f t="shared" si="11"/>
        <v>0</v>
      </c>
      <c r="AV22" s="11">
        <f t="shared" si="11"/>
        <v>0</v>
      </c>
    </row>
    <row r="26" spans="16:48" x14ac:dyDescent="0.25">
      <c r="P26" s="12">
        <f t="shared" ref="P26:AU26" si="12">--+IF(OR(AND(Q26=0,Q27=0,Q28=0),AND(Q26=1,Q27=0,Q28=0),AND(Q26=0,Q27=1,Q28=0),AND(Q26=0,Q27=0,Q28=1)),0,1)</f>
        <v>0</v>
      </c>
      <c r="Q26" s="12">
        <f t="shared" si="12"/>
        <v>0</v>
      </c>
      <c r="R26" s="12">
        <f t="shared" si="12"/>
        <v>0</v>
      </c>
      <c r="S26" s="12">
        <f t="shared" si="12"/>
        <v>0</v>
      </c>
      <c r="T26" s="12">
        <f t="shared" si="12"/>
        <v>0</v>
      </c>
      <c r="U26" s="12">
        <f t="shared" si="12"/>
        <v>0</v>
      </c>
      <c r="V26" s="12">
        <f t="shared" si="12"/>
        <v>0</v>
      </c>
      <c r="W26" s="12">
        <f t="shared" si="12"/>
        <v>0</v>
      </c>
      <c r="X26" s="12">
        <f t="shared" si="12"/>
        <v>0</v>
      </c>
      <c r="Y26" s="12">
        <f t="shared" si="12"/>
        <v>0</v>
      </c>
      <c r="Z26" s="12">
        <f t="shared" si="12"/>
        <v>0</v>
      </c>
      <c r="AA26" s="12">
        <f t="shared" si="12"/>
        <v>0</v>
      </c>
      <c r="AB26" s="12">
        <f t="shared" si="12"/>
        <v>0</v>
      </c>
      <c r="AC26" s="12">
        <f t="shared" si="12"/>
        <v>0</v>
      </c>
      <c r="AD26" s="12">
        <f t="shared" si="12"/>
        <v>0</v>
      </c>
      <c r="AE26" s="12">
        <f t="shared" si="12"/>
        <v>0</v>
      </c>
      <c r="AF26" s="12">
        <f t="shared" si="12"/>
        <v>0</v>
      </c>
      <c r="AG26" s="12">
        <f t="shared" si="12"/>
        <v>0</v>
      </c>
      <c r="AH26" s="12">
        <f t="shared" si="12"/>
        <v>0</v>
      </c>
      <c r="AI26" s="12">
        <f t="shared" si="12"/>
        <v>0</v>
      </c>
      <c r="AJ26" s="12">
        <f t="shared" si="12"/>
        <v>0</v>
      </c>
      <c r="AK26" s="12">
        <f t="shared" si="12"/>
        <v>0</v>
      </c>
      <c r="AL26" s="12">
        <f t="shared" si="12"/>
        <v>0</v>
      </c>
      <c r="AM26" s="12">
        <f t="shared" si="12"/>
        <v>0</v>
      </c>
      <c r="AN26" s="12">
        <f t="shared" si="12"/>
        <v>0</v>
      </c>
      <c r="AO26" s="12">
        <f t="shared" si="12"/>
        <v>0</v>
      </c>
      <c r="AP26" s="12">
        <f t="shared" si="12"/>
        <v>0</v>
      </c>
      <c r="AQ26" s="12">
        <f t="shared" si="12"/>
        <v>0</v>
      </c>
      <c r="AR26" s="12">
        <f t="shared" si="12"/>
        <v>0</v>
      </c>
      <c r="AS26" s="12">
        <f t="shared" si="12"/>
        <v>0</v>
      </c>
      <c r="AT26" s="12">
        <f t="shared" si="12"/>
        <v>0</v>
      </c>
      <c r="AU26" s="12">
        <f t="shared" si="12"/>
        <v>0</v>
      </c>
    </row>
    <row r="27" spans="16:48" x14ac:dyDescent="0.25">
      <c r="Q27" s="8">
        <f t="shared" ref="Q27:AU27" si="13">Q22</f>
        <v>0</v>
      </c>
      <c r="R27" s="8">
        <f t="shared" si="13"/>
        <v>0</v>
      </c>
      <c r="S27" s="8">
        <f t="shared" si="13"/>
        <v>0</v>
      </c>
      <c r="T27" s="8">
        <f t="shared" si="13"/>
        <v>0</v>
      </c>
      <c r="U27" s="8">
        <f t="shared" si="13"/>
        <v>0</v>
      </c>
      <c r="V27" s="8">
        <f t="shared" si="13"/>
        <v>0</v>
      </c>
      <c r="W27" s="8">
        <f t="shared" si="13"/>
        <v>0</v>
      </c>
      <c r="X27" s="8">
        <f t="shared" si="13"/>
        <v>0</v>
      </c>
      <c r="Y27" s="8">
        <f t="shared" si="13"/>
        <v>0</v>
      </c>
      <c r="Z27" s="8">
        <f t="shared" si="13"/>
        <v>0</v>
      </c>
      <c r="AA27" s="8">
        <f t="shared" si="13"/>
        <v>0</v>
      </c>
      <c r="AB27" s="8">
        <f t="shared" si="13"/>
        <v>0</v>
      </c>
      <c r="AC27" s="8">
        <f t="shared" si="13"/>
        <v>0</v>
      </c>
      <c r="AD27" s="8">
        <f t="shared" si="13"/>
        <v>0</v>
      </c>
      <c r="AE27" s="8">
        <f t="shared" si="13"/>
        <v>0</v>
      </c>
      <c r="AF27" s="8">
        <f t="shared" si="13"/>
        <v>0</v>
      </c>
      <c r="AG27" s="8">
        <f t="shared" si="13"/>
        <v>0</v>
      </c>
      <c r="AH27" s="8">
        <f t="shared" si="13"/>
        <v>0</v>
      </c>
      <c r="AI27" s="8">
        <f t="shared" si="13"/>
        <v>0</v>
      </c>
      <c r="AJ27" s="8">
        <f t="shared" si="13"/>
        <v>0</v>
      </c>
      <c r="AK27" s="8">
        <f t="shared" si="13"/>
        <v>0</v>
      </c>
      <c r="AL27" s="8">
        <f t="shared" si="13"/>
        <v>0</v>
      </c>
      <c r="AM27" s="8">
        <f t="shared" si="13"/>
        <v>0</v>
      </c>
      <c r="AN27" s="8">
        <f t="shared" si="13"/>
        <v>0</v>
      </c>
      <c r="AO27" s="8">
        <f t="shared" si="13"/>
        <v>0</v>
      </c>
      <c r="AP27" s="8">
        <f t="shared" si="13"/>
        <v>0</v>
      </c>
      <c r="AQ27" s="8">
        <f t="shared" si="13"/>
        <v>0</v>
      </c>
      <c r="AR27" s="8">
        <f t="shared" si="13"/>
        <v>0</v>
      </c>
      <c r="AS27" s="8">
        <f t="shared" si="13"/>
        <v>0</v>
      </c>
      <c r="AT27" s="8">
        <f t="shared" si="13"/>
        <v>0</v>
      </c>
      <c r="AU27" s="8">
        <f t="shared" si="13"/>
        <v>0</v>
      </c>
      <c r="AV27" s="8">
        <f>AV22</f>
        <v>0</v>
      </c>
    </row>
    <row r="28" spans="16:48" x14ac:dyDescent="0.25">
      <c r="Q28">
        <f t="shared" ref="Q28:AQ28" si="14">$AR$3*U2</f>
        <v>0</v>
      </c>
      <c r="R28">
        <f t="shared" si="14"/>
        <v>0</v>
      </c>
      <c r="S28">
        <f t="shared" si="14"/>
        <v>0</v>
      </c>
      <c r="T28">
        <f t="shared" si="14"/>
        <v>0</v>
      </c>
      <c r="U28">
        <f t="shared" si="14"/>
        <v>0</v>
      </c>
      <c r="V28">
        <f t="shared" si="14"/>
        <v>0</v>
      </c>
      <c r="W28">
        <f t="shared" si="14"/>
        <v>0</v>
      </c>
      <c r="X28">
        <f t="shared" si="14"/>
        <v>0</v>
      </c>
      <c r="Y28">
        <f t="shared" si="14"/>
        <v>0</v>
      </c>
      <c r="Z28">
        <f t="shared" si="14"/>
        <v>0</v>
      </c>
      <c r="AA28">
        <f t="shared" si="14"/>
        <v>0</v>
      </c>
      <c r="AB28">
        <f t="shared" si="14"/>
        <v>0</v>
      </c>
      <c r="AC28">
        <f t="shared" si="14"/>
        <v>0</v>
      </c>
      <c r="AD28">
        <f t="shared" si="14"/>
        <v>0</v>
      </c>
      <c r="AE28">
        <f t="shared" si="14"/>
        <v>0</v>
      </c>
      <c r="AF28">
        <f t="shared" si="14"/>
        <v>0</v>
      </c>
      <c r="AG28">
        <f t="shared" si="14"/>
        <v>0</v>
      </c>
      <c r="AH28">
        <f t="shared" si="14"/>
        <v>0</v>
      </c>
      <c r="AI28">
        <f t="shared" si="14"/>
        <v>0</v>
      </c>
      <c r="AJ28">
        <f t="shared" si="14"/>
        <v>0</v>
      </c>
      <c r="AK28">
        <f t="shared" si="14"/>
        <v>0</v>
      </c>
      <c r="AL28">
        <f t="shared" si="14"/>
        <v>0</v>
      </c>
      <c r="AM28">
        <f t="shared" si="14"/>
        <v>0</v>
      </c>
      <c r="AN28">
        <f t="shared" si="14"/>
        <v>0</v>
      </c>
      <c r="AO28">
        <f t="shared" si="14"/>
        <v>0</v>
      </c>
      <c r="AP28">
        <f t="shared" si="14"/>
        <v>0</v>
      </c>
      <c r="AQ28">
        <f t="shared" si="14"/>
        <v>0</v>
      </c>
      <c r="AR28">
        <f>$AR$3*AV2</f>
        <v>0</v>
      </c>
      <c r="AS28" s="21">
        <v>0</v>
      </c>
      <c r="AT28" s="21">
        <v>0</v>
      </c>
      <c r="AU28" s="21">
        <v>0</v>
      </c>
      <c r="AV28" s="21">
        <v>0</v>
      </c>
    </row>
    <row r="29" spans="16:48" x14ac:dyDescent="0.25">
      <c r="Q29" s="11">
        <f t="shared" ref="Q29:AV29" si="15">IF(OR(AND(Q26=0,Q27=0,Q28=0),AND(Q26=1,Q27=1,Q28=0),AND(Q26=0,Q27=1,Q28=1),AND(Q26=1,Q27=0,Q28=1)),0,1)</f>
        <v>0</v>
      </c>
      <c r="R29" s="11">
        <f t="shared" si="15"/>
        <v>0</v>
      </c>
      <c r="S29" s="11">
        <f t="shared" si="15"/>
        <v>0</v>
      </c>
      <c r="T29" s="11">
        <f t="shared" si="15"/>
        <v>0</v>
      </c>
      <c r="U29" s="11">
        <f t="shared" si="15"/>
        <v>0</v>
      </c>
      <c r="V29" s="11">
        <f t="shared" si="15"/>
        <v>0</v>
      </c>
      <c r="W29" s="11">
        <f t="shared" si="15"/>
        <v>0</v>
      </c>
      <c r="X29" s="11">
        <f t="shared" si="15"/>
        <v>0</v>
      </c>
      <c r="Y29" s="11">
        <f t="shared" si="15"/>
        <v>0</v>
      </c>
      <c r="Z29" s="11">
        <f t="shared" si="15"/>
        <v>0</v>
      </c>
      <c r="AA29" s="11">
        <f t="shared" si="15"/>
        <v>0</v>
      </c>
      <c r="AB29" s="11">
        <f t="shared" si="15"/>
        <v>0</v>
      </c>
      <c r="AC29" s="11">
        <f t="shared" si="15"/>
        <v>0</v>
      </c>
      <c r="AD29" s="11">
        <f t="shared" si="15"/>
        <v>0</v>
      </c>
      <c r="AE29" s="11">
        <f t="shared" si="15"/>
        <v>0</v>
      </c>
      <c r="AF29" s="11">
        <f t="shared" si="15"/>
        <v>0</v>
      </c>
      <c r="AG29" s="11">
        <f t="shared" si="15"/>
        <v>0</v>
      </c>
      <c r="AH29" s="11">
        <f t="shared" si="15"/>
        <v>0</v>
      </c>
      <c r="AI29" s="11">
        <f t="shared" si="15"/>
        <v>0</v>
      </c>
      <c r="AJ29" s="11">
        <f t="shared" si="15"/>
        <v>0</v>
      </c>
      <c r="AK29" s="11">
        <f t="shared" si="15"/>
        <v>0</v>
      </c>
      <c r="AL29" s="11">
        <f t="shared" si="15"/>
        <v>0</v>
      </c>
      <c r="AM29" s="11">
        <f t="shared" si="15"/>
        <v>0</v>
      </c>
      <c r="AN29" s="11">
        <f t="shared" si="15"/>
        <v>0</v>
      </c>
      <c r="AO29" s="11">
        <f t="shared" si="15"/>
        <v>0</v>
      </c>
      <c r="AP29" s="11">
        <f t="shared" si="15"/>
        <v>0</v>
      </c>
      <c r="AQ29" s="11">
        <f t="shared" si="15"/>
        <v>0</v>
      </c>
      <c r="AR29" s="11">
        <f t="shared" si="15"/>
        <v>0</v>
      </c>
      <c r="AS29" s="11">
        <f t="shared" si="15"/>
        <v>0</v>
      </c>
      <c r="AT29" s="11">
        <f t="shared" si="15"/>
        <v>0</v>
      </c>
      <c r="AU29" s="11">
        <f t="shared" si="15"/>
        <v>0</v>
      </c>
      <c r="AV29" s="11">
        <f t="shared" si="15"/>
        <v>0</v>
      </c>
    </row>
    <row r="33" spans="16:48" x14ac:dyDescent="0.25">
      <c r="P33" s="12">
        <f t="shared" ref="P33:AU33" si="16">--+IF(OR(AND(Q33=0,Q34=0,Q35=0),AND(Q33=1,Q34=0,Q35=0),AND(Q33=0,Q34=1,Q35=0),AND(Q33=0,Q34=0,Q35=1)),0,1)</f>
        <v>0</v>
      </c>
      <c r="Q33" s="12">
        <f t="shared" si="16"/>
        <v>0</v>
      </c>
      <c r="R33" s="12">
        <f t="shared" si="16"/>
        <v>0</v>
      </c>
      <c r="S33" s="12">
        <f t="shared" si="16"/>
        <v>0</v>
      </c>
      <c r="T33" s="12">
        <f t="shared" si="16"/>
        <v>0</v>
      </c>
      <c r="U33" s="12">
        <f t="shared" si="16"/>
        <v>0</v>
      </c>
      <c r="V33" s="12">
        <f t="shared" si="16"/>
        <v>0</v>
      </c>
      <c r="W33" s="12">
        <f t="shared" si="16"/>
        <v>0</v>
      </c>
      <c r="X33" s="12">
        <f t="shared" si="16"/>
        <v>0</v>
      </c>
      <c r="Y33" s="12">
        <f t="shared" si="16"/>
        <v>0</v>
      </c>
      <c r="Z33" s="12">
        <f t="shared" si="16"/>
        <v>0</v>
      </c>
      <c r="AA33" s="12">
        <f t="shared" si="16"/>
        <v>0</v>
      </c>
      <c r="AB33" s="12">
        <f t="shared" si="16"/>
        <v>0</v>
      </c>
      <c r="AC33" s="12">
        <f t="shared" si="16"/>
        <v>0</v>
      </c>
      <c r="AD33" s="12">
        <f t="shared" si="16"/>
        <v>0</v>
      </c>
      <c r="AE33" s="12">
        <f t="shared" si="16"/>
        <v>0</v>
      </c>
      <c r="AF33" s="12">
        <f t="shared" si="16"/>
        <v>0</v>
      </c>
      <c r="AG33" s="12">
        <f t="shared" si="16"/>
        <v>0</v>
      </c>
      <c r="AH33" s="12">
        <f t="shared" si="16"/>
        <v>0</v>
      </c>
      <c r="AI33" s="12">
        <f t="shared" si="16"/>
        <v>0</v>
      </c>
      <c r="AJ33" s="12">
        <f t="shared" si="16"/>
        <v>0</v>
      </c>
      <c r="AK33" s="12">
        <f t="shared" si="16"/>
        <v>0</v>
      </c>
      <c r="AL33" s="12">
        <f t="shared" si="16"/>
        <v>0</v>
      </c>
      <c r="AM33" s="12">
        <f t="shared" si="16"/>
        <v>0</v>
      </c>
      <c r="AN33" s="12">
        <f t="shared" si="16"/>
        <v>0</v>
      </c>
      <c r="AO33" s="12">
        <f t="shared" si="16"/>
        <v>0</v>
      </c>
      <c r="AP33" s="12">
        <f t="shared" si="16"/>
        <v>0</v>
      </c>
      <c r="AQ33" s="12">
        <f t="shared" si="16"/>
        <v>0</v>
      </c>
      <c r="AR33" s="12">
        <f t="shared" si="16"/>
        <v>0</v>
      </c>
      <c r="AS33" s="12">
        <f t="shared" si="16"/>
        <v>0</v>
      </c>
      <c r="AT33" s="12">
        <f t="shared" si="16"/>
        <v>0</v>
      </c>
      <c r="AU33" s="12">
        <f t="shared" si="16"/>
        <v>0</v>
      </c>
    </row>
    <row r="34" spans="16:48" x14ac:dyDescent="0.25">
      <c r="Q34" s="8">
        <f t="shared" ref="Q34:AU34" si="17">Q29</f>
        <v>0</v>
      </c>
      <c r="R34" s="8">
        <f t="shared" si="17"/>
        <v>0</v>
      </c>
      <c r="S34" s="8">
        <f t="shared" si="17"/>
        <v>0</v>
      </c>
      <c r="T34" s="8">
        <f t="shared" si="17"/>
        <v>0</v>
      </c>
      <c r="U34" s="8">
        <f t="shared" si="17"/>
        <v>0</v>
      </c>
      <c r="V34" s="8">
        <f t="shared" si="17"/>
        <v>0</v>
      </c>
      <c r="W34" s="8">
        <f t="shared" si="17"/>
        <v>0</v>
      </c>
      <c r="X34" s="8">
        <f t="shared" si="17"/>
        <v>0</v>
      </c>
      <c r="Y34" s="8">
        <f t="shared" si="17"/>
        <v>0</v>
      </c>
      <c r="Z34" s="8">
        <f t="shared" si="17"/>
        <v>0</v>
      </c>
      <c r="AA34" s="8">
        <f t="shared" si="17"/>
        <v>0</v>
      </c>
      <c r="AB34" s="8">
        <f t="shared" si="17"/>
        <v>0</v>
      </c>
      <c r="AC34" s="8">
        <f t="shared" si="17"/>
        <v>0</v>
      </c>
      <c r="AD34" s="8">
        <f t="shared" si="17"/>
        <v>0</v>
      </c>
      <c r="AE34" s="8">
        <f t="shared" si="17"/>
        <v>0</v>
      </c>
      <c r="AF34" s="8">
        <f t="shared" si="17"/>
        <v>0</v>
      </c>
      <c r="AG34" s="8">
        <f t="shared" si="17"/>
        <v>0</v>
      </c>
      <c r="AH34" s="8">
        <f t="shared" si="17"/>
        <v>0</v>
      </c>
      <c r="AI34" s="8">
        <f t="shared" si="17"/>
        <v>0</v>
      </c>
      <c r="AJ34" s="8">
        <f t="shared" si="17"/>
        <v>0</v>
      </c>
      <c r="AK34" s="8">
        <f t="shared" si="17"/>
        <v>0</v>
      </c>
      <c r="AL34" s="8">
        <f t="shared" si="17"/>
        <v>0</v>
      </c>
      <c r="AM34" s="8">
        <f t="shared" si="17"/>
        <v>0</v>
      </c>
      <c r="AN34" s="8">
        <f t="shared" si="17"/>
        <v>0</v>
      </c>
      <c r="AO34" s="8">
        <f t="shared" si="17"/>
        <v>0</v>
      </c>
      <c r="AP34" s="8">
        <f t="shared" si="17"/>
        <v>0</v>
      </c>
      <c r="AQ34" s="8">
        <f t="shared" si="17"/>
        <v>0</v>
      </c>
      <c r="AR34" s="8">
        <f t="shared" si="17"/>
        <v>0</v>
      </c>
      <c r="AS34" s="8">
        <f t="shared" si="17"/>
        <v>0</v>
      </c>
      <c r="AT34" s="8">
        <f t="shared" si="17"/>
        <v>0</v>
      </c>
      <c r="AU34" s="8">
        <f t="shared" si="17"/>
        <v>0</v>
      </c>
      <c r="AV34" s="8">
        <f>AV29</f>
        <v>0</v>
      </c>
    </row>
    <row r="35" spans="16:48" x14ac:dyDescent="0.25">
      <c r="Q35">
        <f t="shared" ref="Q35:AP35" si="18">$AQ$3*V2</f>
        <v>0</v>
      </c>
      <c r="R35">
        <f t="shared" si="18"/>
        <v>0</v>
      </c>
      <c r="S35">
        <f t="shared" si="18"/>
        <v>0</v>
      </c>
      <c r="T35">
        <f t="shared" si="18"/>
        <v>0</v>
      </c>
      <c r="U35">
        <f t="shared" si="18"/>
        <v>0</v>
      </c>
      <c r="V35">
        <f t="shared" si="18"/>
        <v>0</v>
      </c>
      <c r="W35">
        <f t="shared" si="18"/>
        <v>0</v>
      </c>
      <c r="X35">
        <f t="shared" si="18"/>
        <v>0</v>
      </c>
      <c r="Y35">
        <f t="shared" si="18"/>
        <v>0</v>
      </c>
      <c r="Z35">
        <f t="shared" si="18"/>
        <v>0</v>
      </c>
      <c r="AA35">
        <f t="shared" si="18"/>
        <v>0</v>
      </c>
      <c r="AB35">
        <f t="shared" si="18"/>
        <v>0</v>
      </c>
      <c r="AC35">
        <f t="shared" si="18"/>
        <v>0</v>
      </c>
      <c r="AD35">
        <f t="shared" si="18"/>
        <v>0</v>
      </c>
      <c r="AE35">
        <f t="shared" si="18"/>
        <v>0</v>
      </c>
      <c r="AF35">
        <f t="shared" si="18"/>
        <v>0</v>
      </c>
      <c r="AG35">
        <f t="shared" si="18"/>
        <v>0</v>
      </c>
      <c r="AH35">
        <f t="shared" si="18"/>
        <v>0</v>
      </c>
      <c r="AI35">
        <f t="shared" si="18"/>
        <v>0</v>
      </c>
      <c r="AJ35">
        <f t="shared" si="18"/>
        <v>0</v>
      </c>
      <c r="AK35">
        <f t="shared" si="18"/>
        <v>0</v>
      </c>
      <c r="AL35">
        <f t="shared" si="18"/>
        <v>0</v>
      </c>
      <c r="AM35">
        <f t="shared" si="18"/>
        <v>0</v>
      </c>
      <c r="AN35">
        <f t="shared" si="18"/>
        <v>0</v>
      </c>
      <c r="AO35">
        <f t="shared" si="18"/>
        <v>0</v>
      </c>
      <c r="AP35">
        <f t="shared" si="18"/>
        <v>0</v>
      </c>
      <c r="AQ35">
        <f>$AQ$3*AV2</f>
        <v>0</v>
      </c>
      <c r="AR35" s="21">
        <v>0</v>
      </c>
      <c r="AS35" s="21">
        <v>0</v>
      </c>
      <c r="AT35" s="21">
        <v>0</v>
      </c>
      <c r="AU35" s="21">
        <v>0</v>
      </c>
      <c r="AV35" s="21">
        <v>0</v>
      </c>
    </row>
    <row r="36" spans="16:48" x14ac:dyDescent="0.25">
      <c r="Q36" s="11">
        <f t="shared" ref="Q36:AV36" si="19">IF(OR(AND(Q33=0,Q34=0,Q35=0),AND(Q33=1,Q34=1,Q35=0),AND(Q33=0,Q34=1,Q35=1),AND(Q33=1,Q34=0,Q35=1)),0,1)</f>
        <v>0</v>
      </c>
      <c r="R36" s="11">
        <f t="shared" si="19"/>
        <v>0</v>
      </c>
      <c r="S36" s="11">
        <f t="shared" si="19"/>
        <v>0</v>
      </c>
      <c r="T36" s="11">
        <f t="shared" si="19"/>
        <v>0</v>
      </c>
      <c r="U36" s="11">
        <f t="shared" si="19"/>
        <v>0</v>
      </c>
      <c r="V36" s="11">
        <f t="shared" si="19"/>
        <v>0</v>
      </c>
      <c r="W36" s="11">
        <f t="shared" si="19"/>
        <v>0</v>
      </c>
      <c r="X36" s="11">
        <f t="shared" si="19"/>
        <v>0</v>
      </c>
      <c r="Y36" s="11">
        <f t="shared" si="19"/>
        <v>0</v>
      </c>
      <c r="Z36" s="11">
        <f t="shared" si="19"/>
        <v>0</v>
      </c>
      <c r="AA36" s="11">
        <f t="shared" si="19"/>
        <v>0</v>
      </c>
      <c r="AB36" s="11">
        <f t="shared" si="19"/>
        <v>0</v>
      </c>
      <c r="AC36" s="11">
        <f t="shared" si="19"/>
        <v>0</v>
      </c>
      <c r="AD36" s="11">
        <f t="shared" si="19"/>
        <v>0</v>
      </c>
      <c r="AE36" s="11">
        <f t="shared" si="19"/>
        <v>0</v>
      </c>
      <c r="AF36" s="11">
        <f t="shared" si="19"/>
        <v>0</v>
      </c>
      <c r="AG36" s="11">
        <f t="shared" si="19"/>
        <v>0</v>
      </c>
      <c r="AH36" s="11">
        <f t="shared" si="19"/>
        <v>0</v>
      </c>
      <c r="AI36" s="11">
        <f t="shared" si="19"/>
        <v>0</v>
      </c>
      <c r="AJ36" s="11">
        <f t="shared" si="19"/>
        <v>0</v>
      </c>
      <c r="AK36" s="11">
        <f t="shared" si="19"/>
        <v>0</v>
      </c>
      <c r="AL36" s="11">
        <f t="shared" si="19"/>
        <v>0</v>
      </c>
      <c r="AM36" s="11">
        <f t="shared" si="19"/>
        <v>0</v>
      </c>
      <c r="AN36" s="11">
        <f t="shared" si="19"/>
        <v>0</v>
      </c>
      <c r="AO36" s="11">
        <f t="shared" si="19"/>
        <v>0</v>
      </c>
      <c r="AP36" s="11">
        <f t="shared" si="19"/>
        <v>0</v>
      </c>
      <c r="AQ36" s="11">
        <f t="shared" si="19"/>
        <v>0</v>
      </c>
      <c r="AR36" s="11">
        <f t="shared" si="19"/>
        <v>0</v>
      </c>
      <c r="AS36" s="11">
        <f t="shared" si="19"/>
        <v>0</v>
      </c>
      <c r="AT36" s="11">
        <f t="shared" si="19"/>
        <v>0</v>
      </c>
      <c r="AU36" s="11">
        <f t="shared" si="19"/>
        <v>0</v>
      </c>
      <c r="AV36" s="11">
        <f t="shared" si="19"/>
        <v>0</v>
      </c>
    </row>
    <row r="40" spans="16:48" x14ac:dyDescent="0.25">
      <c r="P40" s="12">
        <f t="shared" ref="P40:AU40" si="20">--+IF(OR(AND(Q40=0,Q41=0,Q42=0),AND(Q40=1,Q41=0,Q42=0),AND(Q40=0,Q41=1,Q42=0),AND(Q40=0,Q41=0,Q42=1)),0,1)</f>
        <v>0</v>
      </c>
      <c r="Q40" s="12">
        <f t="shared" si="20"/>
        <v>0</v>
      </c>
      <c r="R40" s="12">
        <f t="shared" si="20"/>
        <v>0</v>
      </c>
      <c r="S40" s="12">
        <f t="shared" si="20"/>
        <v>0</v>
      </c>
      <c r="T40" s="12">
        <f t="shared" si="20"/>
        <v>0</v>
      </c>
      <c r="U40" s="12">
        <f t="shared" si="20"/>
        <v>0</v>
      </c>
      <c r="V40" s="12">
        <f t="shared" si="20"/>
        <v>0</v>
      </c>
      <c r="W40" s="12">
        <f t="shared" si="20"/>
        <v>0</v>
      </c>
      <c r="X40" s="12">
        <f t="shared" si="20"/>
        <v>0</v>
      </c>
      <c r="Y40" s="12">
        <f t="shared" si="20"/>
        <v>0</v>
      </c>
      <c r="Z40" s="12">
        <f t="shared" si="20"/>
        <v>0</v>
      </c>
      <c r="AA40" s="12">
        <f t="shared" si="20"/>
        <v>0</v>
      </c>
      <c r="AB40" s="12">
        <f t="shared" si="20"/>
        <v>0</v>
      </c>
      <c r="AC40" s="12">
        <f t="shared" si="20"/>
        <v>0</v>
      </c>
      <c r="AD40" s="12">
        <f t="shared" si="20"/>
        <v>0</v>
      </c>
      <c r="AE40" s="12">
        <f t="shared" si="20"/>
        <v>0</v>
      </c>
      <c r="AF40" s="12">
        <f t="shared" si="20"/>
        <v>0</v>
      </c>
      <c r="AG40" s="12">
        <f t="shared" si="20"/>
        <v>0</v>
      </c>
      <c r="AH40" s="12">
        <f t="shared" si="20"/>
        <v>0</v>
      </c>
      <c r="AI40" s="12">
        <f t="shared" si="20"/>
        <v>0</v>
      </c>
      <c r="AJ40" s="12">
        <f t="shared" si="20"/>
        <v>0</v>
      </c>
      <c r="AK40" s="12">
        <f t="shared" si="20"/>
        <v>0</v>
      </c>
      <c r="AL40" s="12">
        <f t="shared" si="20"/>
        <v>0</v>
      </c>
      <c r="AM40" s="12">
        <f t="shared" si="20"/>
        <v>0</v>
      </c>
      <c r="AN40" s="12">
        <f t="shared" si="20"/>
        <v>0</v>
      </c>
      <c r="AO40" s="12">
        <f t="shared" si="20"/>
        <v>0</v>
      </c>
      <c r="AP40" s="12">
        <f t="shared" si="20"/>
        <v>0</v>
      </c>
      <c r="AQ40" s="12">
        <f t="shared" si="20"/>
        <v>0</v>
      </c>
      <c r="AR40" s="12">
        <f t="shared" si="20"/>
        <v>0</v>
      </c>
      <c r="AS40" s="12">
        <f t="shared" si="20"/>
        <v>0</v>
      </c>
      <c r="AT40" s="12">
        <f t="shared" si="20"/>
        <v>0</v>
      </c>
      <c r="AU40" s="12">
        <f t="shared" si="20"/>
        <v>0</v>
      </c>
    </row>
    <row r="41" spans="16:48" x14ac:dyDescent="0.25">
      <c r="Q41" s="8">
        <f t="shared" ref="Q41:AU41" si="21">Q36</f>
        <v>0</v>
      </c>
      <c r="R41" s="8">
        <f t="shared" si="21"/>
        <v>0</v>
      </c>
      <c r="S41" s="8">
        <f t="shared" si="21"/>
        <v>0</v>
      </c>
      <c r="T41" s="8">
        <f t="shared" si="21"/>
        <v>0</v>
      </c>
      <c r="U41" s="8">
        <f t="shared" si="21"/>
        <v>0</v>
      </c>
      <c r="V41" s="8">
        <f t="shared" si="21"/>
        <v>0</v>
      </c>
      <c r="W41" s="8">
        <f t="shared" si="21"/>
        <v>0</v>
      </c>
      <c r="X41" s="8">
        <f t="shared" si="21"/>
        <v>0</v>
      </c>
      <c r="Y41" s="8">
        <f t="shared" si="21"/>
        <v>0</v>
      </c>
      <c r="Z41" s="8">
        <f t="shared" si="21"/>
        <v>0</v>
      </c>
      <c r="AA41" s="8">
        <f t="shared" si="21"/>
        <v>0</v>
      </c>
      <c r="AB41" s="8">
        <f t="shared" si="21"/>
        <v>0</v>
      </c>
      <c r="AC41" s="8">
        <f t="shared" si="21"/>
        <v>0</v>
      </c>
      <c r="AD41" s="8">
        <f t="shared" si="21"/>
        <v>0</v>
      </c>
      <c r="AE41" s="8">
        <f t="shared" si="21"/>
        <v>0</v>
      </c>
      <c r="AF41" s="8">
        <f t="shared" si="21"/>
        <v>0</v>
      </c>
      <c r="AG41" s="8">
        <f t="shared" si="21"/>
        <v>0</v>
      </c>
      <c r="AH41" s="8">
        <f t="shared" si="21"/>
        <v>0</v>
      </c>
      <c r="AI41" s="8">
        <f t="shared" si="21"/>
        <v>0</v>
      </c>
      <c r="AJ41" s="8">
        <f t="shared" si="21"/>
        <v>0</v>
      </c>
      <c r="AK41" s="8">
        <f t="shared" si="21"/>
        <v>0</v>
      </c>
      <c r="AL41" s="8">
        <f t="shared" si="21"/>
        <v>0</v>
      </c>
      <c r="AM41" s="8">
        <f t="shared" si="21"/>
        <v>0</v>
      </c>
      <c r="AN41" s="8">
        <f t="shared" si="21"/>
        <v>0</v>
      </c>
      <c r="AO41" s="8">
        <f t="shared" si="21"/>
        <v>0</v>
      </c>
      <c r="AP41" s="8">
        <f t="shared" si="21"/>
        <v>0</v>
      </c>
      <c r="AQ41" s="8">
        <f t="shared" si="21"/>
        <v>0</v>
      </c>
      <c r="AR41" s="8">
        <f t="shared" si="21"/>
        <v>0</v>
      </c>
      <c r="AS41" s="8">
        <f t="shared" si="21"/>
        <v>0</v>
      </c>
      <c r="AT41" s="8">
        <f t="shared" si="21"/>
        <v>0</v>
      </c>
      <c r="AU41" s="8">
        <f t="shared" si="21"/>
        <v>0</v>
      </c>
      <c r="AV41" s="8">
        <f>AV36</f>
        <v>0</v>
      </c>
    </row>
    <row r="42" spans="16:48" x14ac:dyDescent="0.25">
      <c r="Q42">
        <f t="shared" ref="Q42:AO42" si="22">$AP$3*W2</f>
        <v>0</v>
      </c>
      <c r="R42">
        <f t="shared" si="22"/>
        <v>0</v>
      </c>
      <c r="S42">
        <f t="shared" si="22"/>
        <v>0</v>
      </c>
      <c r="T42">
        <f t="shared" si="22"/>
        <v>0</v>
      </c>
      <c r="U42">
        <f t="shared" si="22"/>
        <v>0</v>
      </c>
      <c r="V42">
        <f t="shared" si="22"/>
        <v>0</v>
      </c>
      <c r="W42">
        <f t="shared" si="22"/>
        <v>0</v>
      </c>
      <c r="X42">
        <f t="shared" si="22"/>
        <v>0</v>
      </c>
      <c r="Y42">
        <f t="shared" si="22"/>
        <v>0</v>
      </c>
      <c r="Z42">
        <f t="shared" si="22"/>
        <v>0</v>
      </c>
      <c r="AA42">
        <f t="shared" si="22"/>
        <v>0</v>
      </c>
      <c r="AB42">
        <f t="shared" si="22"/>
        <v>0</v>
      </c>
      <c r="AC42">
        <f t="shared" si="22"/>
        <v>0</v>
      </c>
      <c r="AD42">
        <f t="shared" si="22"/>
        <v>0</v>
      </c>
      <c r="AE42">
        <f t="shared" si="22"/>
        <v>0</v>
      </c>
      <c r="AF42">
        <f t="shared" si="22"/>
        <v>0</v>
      </c>
      <c r="AG42">
        <f t="shared" si="22"/>
        <v>0</v>
      </c>
      <c r="AH42">
        <f t="shared" si="22"/>
        <v>0</v>
      </c>
      <c r="AI42">
        <f t="shared" si="22"/>
        <v>0</v>
      </c>
      <c r="AJ42">
        <f t="shared" si="22"/>
        <v>0</v>
      </c>
      <c r="AK42">
        <f t="shared" si="22"/>
        <v>0</v>
      </c>
      <c r="AL42">
        <f t="shared" si="22"/>
        <v>0</v>
      </c>
      <c r="AM42">
        <f t="shared" si="22"/>
        <v>0</v>
      </c>
      <c r="AN42">
        <f t="shared" si="22"/>
        <v>0</v>
      </c>
      <c r="AO42">
        <f t="shared" si="22"/>
        <v>0</v>
      </c>
      <c r="AP42">
        <f>$AP$3*AV2</f>
        <v>0</v>
      </c>
      <c r="AQ42" s="21">
        <v>0</v>
      </c>
      <c r="AR42" s="21">
        <v>0</v>
      </c>
      <c r="AS42" s="21">
        <v>0</v>
      </c>
      <c r="AT42" s="21">
        <v>0</v>
      </c>
      <c r="AU42" s="21">
        <v>0</v>
      </c>
      <c r="AV42" s="21">
        <v>0</v>
      </c>
    </row>
    <row r="43" spans="16:48" x14ac:dyDescent="0.25">
      <c r="Q43" s="11">
        <f t="shared" ref="Q43:AV43" si="23">IF(OR(AND(Q40=0,Q41=0,Q42=0),AND(Q40=1,Q41=1,Q42=0),AND(Q40=0,Q41=1,Q42=1),AND(Q40=1,Q41=0,Q42=1)),0,1)</f>
        <v>0</v>
      </c>
      <c r="R43" s="11">
        <f t="shared" si="23"/>
        <v>0</v>
      </c>
      <c r="S43" s="11">
        <f t="shared" si="23"/>
        <v>0</v>
      </c>
      <c r="T43" s="11">
        <f t="shared" si="23"/>
        <v>0</v>
      </c>
      <c r="U43" s="11">
        <f t="shared" si="23"/>
        <v>0</v>
      </c>
      <c r="V43" s="11">
        <f t="shared" si="23"/>
        <v>0</v>
      </c>
      <c r="W43" s="11">
        <f t="shared" si="23"/>
        <v>0</v>
      </c>
      <c r="X43" s="11">
        <f t="shared" si="23"/>
        <v>0</v>
      </c>
      <c r="Y43" s="11">
        <f t="shared" si="23"/>
        <v>0</v>
      </c>
      <c r="Z43" s="11">
        <f t="shared" si="23"/>
        <v>0</v>
      </c>
      <c r="AA43" s="11">
        <f t="shared" si="23"/>
        <v>0</v>
      </c>
      <c r="AB43" s="11">
        <f t="shared" si="23"/>
        <v>0</v>
      </c>
      <c r="AC43" s="11">
        <f t="shared" si="23"/>
        <v>0</v>
      </c>
      <c r="AD43" s="11">
        <f t="shared" si="23"/>
        <v>0</v>
      </c>
      <c r="AE43" s="11">
        <f t="shared" si="23"/>
        <v>0</v>
      </c>
      <c r="AF43" s="11">
        <f t="shared" si="23"/>
        <v>0</v>
      </c>
      <c r="AG43" s="11">
        <f t="shared" si="23"/>
        <v>0</v>
      </c>
      <c r="AH43" s="11">
        <f t="shared" si="23"/>
        <v>0</v>
      </c>
      <c r="AI43" s="11">
        <f t="shared" si="23"/>
        <v>0</v>
      </c>
      <c r="AJ43" s="11">
        <f t="shared" si="23"/>
        <v>0</v>
      </c>
      <c r="AK43" s="11">
        <f t="shared" si="23"/>
        <v>0</v>
      </c>
      <c r="AL43" s="11">
        <f t="shared" si="23"/>
        <v>0</v>
      </c>
      <c r="AM43" s="11">
        <f t="shared" si="23"/>
        <v>0</v>
      </c>
      <c r="AN43" s="11">
        <f t="shared" si="23"/>
        <v>0</v>
      </c>
      <c r="AO43" s="11">
        <f t="shared" si="23"/>
        <v>0</v>
      </c>
      <c r="AP43" s="11">
        <f t="shared" si="23"/>
        <v>0</v>
      </c>
      <c r="AQ43" s="11">
        <f t="shared" si="23"/>
        <v>0</v>
      </c>
      <c r="AR43" s="11">
        <f t="shared" si="23"/>
        <v>0</v>
      </c>
      <c r="AS43" s="11">
        <f t="shared" si="23"/>
        <v>0</v>
      </c>
      <c r="AT43" s="11">
        <f t="shared" si="23"/>
        <v>0</v>
      </c>
      <c r="AU43" s="11">
        <f t="shared" si="23"/>
        <v>0</v>
      </c>
      <c r="AV43" s="11">
        <f t="shared" si="23"/>
        <v>0</v>
      </c>
    </row>
    <row r="47" spans="16:48" x14ac:dyDescent="0.25">
      <c r="P47" s="12">
        <f t="shared" ref="P47:AU47" si="24">--+IF(OR(AND(Q47=0,Q48=0,Q49=0),AND(Q47=1,Q48=0,Q49=0),AND(Q47=0,Q48=1,Q49=0),AND(Q47=0,Q48=0,Q49=1)),0,1)</f>
        <v>0</v>
      </c>
      <c r="Q47" s="12">
        <f t="shared" si="24"/>
        <v>0</v>
      </c>
      <c r="R47" s="12">
        <f t="shared" si="24"/>
        <v>0</v>
      </c>
      <c r="S47" s="12">
        <f t="shared" si="24"/>
        <v>0</v>
      </c>
      <c r="T47" s="12">
        <f t="shared" si="24"/>
        <v>0</v>
      </c>
      <c r="U47" s="12">
        <f t="shared" si="24"/>
        <v>0</v>
      </c>
      <c r="V47" s="12">
        <f t="shared" si="24"/>
        <v>0</v>
      </c>
      <c r="W47" s="12">
        <f t="shared" si="24"/>
        <v>0</v>
      </c>
      <c r="X47" s="12">
        <f t="shared" si="24"/>
        <v>0</v>
      </c>
      <c r="Y47" s="12">
        <f t="shared" si="24"/>
        <v>0</v>
      </c>
      <c r="Z47" s="12">
        <f t="shared" si="24"/>
        <v>0</v>
      </c>
      <c r="AA47" s="12">
        <f t="shared" si="24"/>
        <v>0</v>
      </c>
      <c r="AB47" s="12">
        <f t="shared" si="24"/>
        <v>0</v>
      </c>
      <c r="AC47" s="12">
        <f t="shared" si="24"/>
        <v>0</v>
      </c>
      <c r="AD47" s="12">
        <f t="shared" si="24"/>
        <v>0</v>
      </c>
      <c r="AE47" s="12">
        <f t="shared" si="24"/>
        <v>0</v>
      </c>
      <c r="AF47" s="12">
        <f t="shared" si="24"/>
        <v>0</v>
      </c>
      <c r="AG47" s="12">
        <f t="shared" si="24"/>
        <v>0</v>
      </c>
      <c r="AH47" s="12">
        <f t="shared" si="24"/>
        <v>0</v>
      </c>
      <c r="AI47" s="12">
        <f t="shared" si="24"/>
        <v>0</v>
      </c>
      <c r="AJ47" s="12">
        <f t="shared" si="24"/>
        <v>0</v>
      </c>
      <c r="AK47" s="12">
        <f t="shared" si="24"/>
        <v>0</v>
      </c>
      <c r="AL47" s="12">
        <f t="shared" si="24"/>
        <v>0</v>
      </c>
      <c r="AM47" s="12">
        <f t="shared" si="24"/>
        <v>0</v>
      </c>
      <c r="AN47" s="12">
        <f t="shared" si="24"/>
        <v>0</v>
      </c>
      <c r="AO47" s="12">
        <f t="shared" si="24"/>
        <v>0</v>
      </c>
      <c r="AP47" s="12">
        <f t="shared" si="24"/>
        <v>0</v>
      </c>
      <c r="AQ47" s="12">
        <f t="shared" si="24"/>
        <v>0</v>
      </c>
      <c r="AR47" s="12">
        <f t="shared" si="24"/>
        <v>0</v>
      </c>
      <c r="AS47" s="12">
        <f t="shared" si="24"/>
        <v>0</v>
      </c>
      <c r="AT47" s="12">
        <f t="shared" si="24"/>
        <v>0</v>
      </c>
      <c r="AU47" s="12">
        <f t="shared" si="24"/>
        <v>0</v>
      </c>
    </row>
    <row r="48" spans="16:48" x14ac:dyDescent="0.25">
      <c r="Q48" s="8">
        <f t="shared" ref="Q48:AU48" si="25">Q43</f>
        <v>0</v>
      </c>
      <c r="R48" s="8">
        <f t="shared" si="25"/>
        <v>0</v>
      </c>
      <c r="S48" s="8">
        <f t="shared" si="25"/>
        <v>0</v>
      </c>
      <c r="T48" s="8">
        <f t="shared" si="25"/>
        <v>0</v>
      </c>
      <c r="U48" s="8">
        <f t="shared" si="25"/>
        <v>0</v>
      </c>
      <c r="V48" s="8">
        <f t="shared" si="25"/>
        <v>0</v>
      </c>
      <c r="W48" s="8">
        <f t="shared" si="25"/>
        <v>0</v>
      </c>
      <c r="X48" s="8">
        <f t="shared" si="25"/>
        <v>0</v>
      </c>
      <c r="Y48" s="8">
        <f t="shared" si="25"/>
        <v>0</v>
      </c>
      <c r="Z48" s="8">
        <f t="shared" si="25"/>
        <v>0</v>
      </c>
      <c r="AA48" s="8">
        <f t="shared" si="25"/>
        <v>0</v>
      </c>
      <c r="AB48" s="8">
        <f t="shared" si="25"/>
        <v>0</v>
      </c>
      <c r="AC48" s="8">
        <f t="shared" si="25"/>
        <v>0</v>
      </c>
      <c r="AD48" s="8">
        <f t="shared" si="25"/>
        <v>0</v>
      </c>
      <c r="AE48" s="8">
        <f t="shared" si="25"/>
        <v>0</v>
      </c>
      <c r="AF48" s="8">
        <f t="shared" si="25"/>
        <v>0</v>
      </c>
      <c r="AG48" s="8">
        <f t="shared" si="25"/>
        <v>0</v>
      </c>
      <c r="AH48" s="8">
        <f t="shared" si="25"/>
        <v>0</v>
      </c>
      <c r="AI48" s="8">
        <f t="shared" si="25"/>
        <v>0</v>
      </c>
      <c r="AJ48" s="8">
        <f t="shared" si="25"/>
        <v>0</v>
      </c>
      <c r="AK48" s="8">
        <f t="shared" si="25"/>
        <v>0</v>
      </c>
      <c r="AL48" s="8">
        <f t="shared" si="25"/>
        <v>0</v>
      </c>
      <c r="AM48" s="8">
        <f t="shared" si="25"/>
        <v>0</v>
      </c>
      <c r="AN48" s="8">
        <f t="shared" si="25"/>
        <v>0</v>
      </c>
      <c r="AO48" s="8">
        <f t="shared" si="25"/>
        <v>0</v>
      </c>
      <c r="AP48" s="8">
        <f t="shared" si="25"/>
        <v>0</v>
      </c>
      <c r="AQ48" s="8">
        <f t="shared" si="25"/>
        <v>0</v>
      </c>
      <c r="AR48" s="8">
        <f t="shared" si="25"/>
        <v>0</v>
      </c>
      <c r="AS48" s="8">
        <f t="shared" si="25"/>
        <v>0</v>
      </c>
      <c r="AT48" s="8">
        <f t="shared" si="25"/>
        <v>0</v>
      </c>
      <c r="AU48" s="8">
        <f t="shared" si="25"/>
        <v>0</v>
      </c>
      <c r="AV48" s="8">
        <f>AV43</f>
        <v>0</v>
      </c>
    </row>
    <row r="49" spans="16:48" x14ac:dyDescent="0.25">
      <c r="Q49">
        <f t="shared" ref="Q49:AN49" si="26">$AO$3*X2</f>
        <v>0</v>
      </c>
      <c r="R49">
        <f t="shared" si="26"/>
        <v>0</v>
      </c>
      <c r="S49">
        <f t="shared" si="26"/>
        <v>0</v>
      </c>
      <c r="T49">
        <f t="shared" si="26"/>
        <v>0</v>
      </c>
      <c r="U49">
        <f t="shared" si="26"/>
        <v>0</v>
      </c>
      <c r="V49">
        <f t="shared" si="26"/>
        <v>0</v>
      </c>
      <c r="W49">
        <f t="shared" si="26"/>
        <v>0</v>
      </c>
      <c r="X49">
        <f t="shared" si="26"/>
        <v>0</v>
      </c>
      <c r="Y49">
        <f t="shared" si="26"/>
        <v>0</v>
      </c>
      <c r="Z49">
        <f t="shared" si="26"/>
        <v>0</v>
      </c>
      <c r="AA49">
        <f t="shared" si="26"/>
        <v>0</v>
      </c>
      <c r="AB49">
        <f t="shared" si="26"/>
        <v>0</v>
      </c>
      <c r="AC49">
        <f t="shared" si="26"/>
        <v>0</v>
      </c>
      <c r="AD49">
        <f t="shared" si="26"/>
        <v>0</v>
      </c>
      <c r="AE49">
        <f t="shared" si="26"/>
        <v>0</v>
      </c>
      <c r="AF49">
        <f t="shared" si="26"/>
        <v>0</v>
      </c>
      <c r="AG49">
        <f t="shared" si="26"/>
        <v>0</v>
      </c>
      <c r="AH49">
        <f t="shared" si="26"/>
        <v>0</v>
      </c>
      <c r="AI49">
        <f t="shared" si="26"/>
        <v>0</v>
      </c>
      <c r="AJ49">
        <f t="shared" si="26"/>
        <v>0</v>
      </c>
      <c r="AK49">
        <f t="shared" si="26"/>
        <v>0</v>
      </c>
      <c r="AL49">
        <f t="shared" si="26"/>
        <v>0</v>
      </c>
      <c r="AM49">
        <f t="shared" si="26"/>
        <v>0</v>
      </c>
      <c r="AN49">
        <f t="shared" si="26"/>
        <v>0</v>
      </c>
      <c r="AO49">
        <f>$AO$3*AV2</f>
        <v>0</v>
      </c>
      <c r="AP49" s="21">
        <v>0</v>
      </c>
      <c r="AQ49" s="21">
        <v>0</v>
      </c>
      <c r="AR49" s="21">
        <v>0</v>
      </c>
      <c r="AS49" s="21">
        <v>0</v>
      </c>
      <c r="AT49" s="21">
        <v>0</v>
      </c>
      <c r="AU49" s="21">
        <v>0</v>
      </c>
      <c r="AV49" s="21">
        <v>0</v>
      </c>
    </row>
    <row r="50" spans="16:48" x14ac:dyDescent="0.25">
      <c r="Q50" s="11">
        <f t="shared" ref="Q50:AV50" si="27">IF(OR(AND(Q47=0,Q48=0,Q49=0),AND(Q47=1,Q48=1,Q49=0),AND(Q47=0,Q48=1,Q49=1),AND(Q47=1,Q48=0,Q49=1)),0,1)</f>
        <v>0</v>
      </c>
      <c r="R50" s="11">
        <f t="shared" si="27"/>
        <v>0</v>
      </c>
      <c r="S50" s="11">
        <f t="shared" si="27"/>
        <v>0</v>
      </c>
      <c r="T50" s="11">
        <f t="shared" si="27"/>
        <v>0</v>
      </c>
      <c r="U50" s="11">
        <f t="shared" si="27"/>
        <v>0</v>
      </c>
      <c r="V50" s="11">
        <f t="shared" si="27"/>
        <v>0</v>
      </c>
      <c r="W50" s="11">
        <f t="shared" si="27"/>
        <v>0</v>
      </c>
      <c r="X50" s="11">
        <f t="shared" si="27"/>
        <v>0</v>
      </c>
      <c r="Y50" s="11">
        <f t="shared" si="27"/>
        <v>0</v>
      </c>
      <c r="Z50" s="11">
        <f t="shared" si="27"/>
        <v>0</v>
      </c>
      <c r="AA50" s="11">
        <f t="shared" si="27"/>
        <v>0</v>
      </c>
      <c r="AB50" s="11">
        <f t="shared" si="27"/>
        <v>0</v>
      </c>
      <c r="AC50" s="11">
        <f t="shared" si="27"/>
        <v>0</v>
      </c>
      <c r="AD50" s="11">
        <f t="shared" si="27"/>
        <v>0</v>
      </c>
      <c r="AE50" s="11">
        <f t="shared" si="27"/>
        <v>0</v>
      </c>
      <c r="AF50" s="11">
        <f t="shared" si="27"/>
        <v>0</v>
      </c>
      <c r="AG50" s="11">
        <f t="shared" si="27"/>
        <v>0</v>
      </c>
      <c r="AH50" s="11">
        <f t="shared" si="27"/>
        <v>0</v>
      </c>
      <c r="AI50" s="11">
        <f t="shared" si="27"/>
        <v>0</v>
      </c>
      <c r="AJ50" s="11">
        <f t="shared" si="27"/>
        <v>0</v>
      </c>
      <c r="AK50" s="11">
        <f t="shared" si="27"/>
        <v>0</v>
      </c>
      <c r="AL50" s="11">
        <f t="shared" si="27"/>
        <v>0</v>
      </c>
      <c r="AM50" s="11">
        <f t="shared" si="27"/>
        <v>0</v>
      </c>
      <c r="AN50" s="11">
        <f t="shared" si="27"/>
        <v>0</v>
      </c>
      <c r="AO50" s="11">
        <f t="shared" si="27"/>
        <v>0</v>
      </c>
      <c r="AP50" s="11">
        <f t="shared" si="27"/>
        <v>0</v>
      </c>
      <c r="AQ50" s="11">
        <f t="shared" si="27"/>
        <v>0</v>
      </c>
      <c r="AR50" s="11">
        <f t="shared" si="27"/>
        <v>0</v>
      </c>
      <c r="AS50" s="11">
        <f t="shared" si="27"/>
        <v>0</v>
      </c>
      <c r="AT50" s="11">
        <f t="shared" si="27"/>
        <v>0</v>
      </c>
      <c r="AU50" s="11">
        <f t="shared" si="27"/>
        <v>0</v>
      </c>
      <c r="AV50" s="11">
        <f t="shared" si="27"/>
        <v>0</v>
      </c>
    </row>
    <row r="54" spans="16:48" x14ac:dyDescent="0.25">
      <c r="P54" s="12">
        <f t="shared" ref="P54:AU54" si="28">--+IF(OR(AND(Q54=0,Q55=0,Q56=0),AND(Q54=1,Q55=0,Q56=0),AND(Q54=0,Q55=1,Q56=0),AND(Q54=0,Q55=0,Q56=1)),0,1)</f>
        <v>0</v>
      </c>
      <c r="Q54" s="12">
        <f t="shared" si="28"/>
        <v>0</v>
      </c>
      <c r="R54" s="12">
        <f t="shared" si="28"/>
        <v>0</v>
      </c>
      <c r="S54" s="12">
        <f t="shared" si="28"/>
        <v>0</v>
      </c>
      <c r="T54" s="12">
        <f t="shared" si="28"/>
        <v>0</v>
      </c>
      <c r="U54" s="12">
        <f t="shared" si="28"/>
        <v>0</v>
      </c>
      <c r="V54" s="12">
        <f t="shared" si="28"/>
        <v>0</v>
      </c>
      <c r="W54" s="12">
        <f t="shared" si="28"/>
        <v>0</v>
      </c>
      <c r="X54" s="12">
        <f t="shared" si="28"/>
        <v>0</v>
      </c>
      <c r="Y54" s="12">
        <f t="shared" si="28"/>
        <v>0</v>
      </c>
      <c r="Z54" s="12">
        <f t="shared" si="28"/>
        <v>0</v>
      </c>
      <c r="AA54" s="12">
        <f t="shared" si="28"/>
        <v>0</v>
      </c>
      <c r="AB54" s="12">
        <f t="shared" si="28"/>
        <v>0</v>
      </c>
      <c r="AC54" s="12">
        <f t="shared" si="28"/>
        <v>0</v>
      </c>
      <c r="AD54" s="12">
        <f t="shared" si="28"/>
        <v>0</v>
      </c>
      <c r="AE54" s="12">
        <f t="shared" si="28"/>
        <v>0</v>
      </c>
      <c r="AF54" s="12">
        <f t="shared" si="28"/>
        <v>0</v>
      </c>
      <c r="AG54" s="12">
        <f t="shared" si="28"/>
        <v>0</v>
      </c>
      <c r="AH54" s="12">
        <f t="shared" si="28"/>
        <v>0</v>
      </c>
      <c r="AI54" s="12">
        <f t="shared" si="28"/>
        <v>0</v>
      </c>
      <c r="AJ54" s="12">
        <f t="shared" si="28"/>
        <v>0</v>
      </c>
      <c r="AK54" s="12">
        <f t="shared" si="28"/>
        <v>0</v>
      </c>
      <c r="AL54" s="12">
        <f t="shared" si="28"/>
        <v>0</v>
      </c>
      <c r="AM54" s="12">
        <f t="shared" si="28"/>
        <v>0</v>
      </c>
      <c r="AN54" s="12">
        <f t="shared" si="28"/>
        <v>0</v>
      </c>
      <c r="AO54" s="12">
        <f t="shared" si="28"/>
        <v>0</v>
      </c>
      <c r="AP54" s="12">
        <f t="shared" si="28"/>
        <v>0</v>
      </c>
      <c r="AQ54" s="12">
        <f t="shared" si="28"/>
        <v>0</v>
      </c>
      <c r="AR54" s="12">
        <f t="shared" si="28"/>
        <v>0</v>
      </c>
      <c r="AS54" s="12">
        <f t="shared" si="28"/>
        <v>0</v>
      </c>
      <c r="AT54" s="12">
        <f t="shared" si="28"/>
        <v>0</v>
      </c>
      <c r="AU54" s="12">
        <f t="shared" si="28"/>
        <v>0</v>
      </c>
    </row>
    <row r="55" spans="16:48" x14ac:dyDescent="0.25">
      <c r="Q55" s="8">
        <f t="shared" ref="Q55:AU55" si="29">Q50</f>
        <v>0</v>
      </c>
      <c r="R55" s="8">
        <f t="shared" si="29"/>
        <v>0</v>
      </c>
      <c r="S55" s="8">
        <f t="shared" si="29"/>
        <v>0</v>
      </c>
      <c r="T55" s="8">
        <f t="shared" si="29"/>
        <v>0</v>
      </c>
      <c r="U55" s="8">
        <f t="shared" si="29"/>
        <v>0</v>
      </c>
      <c r="V55" s="8">
        <f t="shared" si="29"/>
        <v>0</v>
      </c>
      <c r="W55" s="8">
        <f t="shared" si="29"/>
        <v>0</v>
      </c>
      <c r="X55" s="8">
        <f t="shared" si="29"/>
        <v>0</v>
      </c>
      <c r="Y55" s="8">
        <f t="shared" si="29"/>
        <v>0</v>
      </c>
      <c r="Z55" s="8">
        <f t="shared" si="29"/>
        <v>0</v>
      </c>
      <c r="AA55" s="8">
        <f t="shared" si="29"/>
        <v>0</v>
      </c>
      <c r="AB55" s="8">
        <f t="shared" si="29"/>
        <v>0</v>
      </c>
      <c r="AC55" s="8">
        <f t="shared" si="29"/>
        <v>0</v>
      </c>
      <c r="AD55" s="8">
        <f t="shared" si="29"/>
        <v>0</v>
      </c>
      <c r="AE55" s="8">
        <f t="shared" si="29"/>
        <v>0</v>
      </c>
      <c r="AF55" s="8">
        <f t="shared" si="29"/>
        <v>0</v>
      </c>
      <c r="AG55" s="8">
        <f t="shared" si="29"/>
        <v>0</v>
      </c>
      <c r="AH55" s="8">
        <f t="shared" si="29"/>
        <v>0</v>
      </c>
      <c r="AI55" s="8">
        <f t="shared" si="29"/>
        <v>0</v>
      </c>
      <c r="AJ55" s="8">
        <f t="shared" si="29"/>
        <v>0</v>
      </c>
      <c r="AK55" s="8">
        <f t="shared" si="29"/>
        <v>0</v>
      </c>
      <c r="AL55" s="8">
        <f t="shared" si="29"/>
        <v>0</v>
      </c>
      <c r="AM55" s="8">
        <f t="shared" si="29"/>
        <v>0</v>
      </c>
      <c r="AN55" s="8">
        <f t="shared" si="29"/>
        <v>0</v>
      </c>
      <c r="AO55" s="8">
        <f t="shared" si="29"/>
        <v>0</v>
      </c>
      <c r="AP55" s="8">
        <f t="shared" si="29"/>
        <v>0</v>
      </c>
      <c r="AQ55" s="8">
        <f t="shared" si="29"/>
        <v>0</v>
      </c>
      <c r="AR55" s="8">
        <f t="shared" si="29"/>
        <v>0</v>
      </c>
      <c r="AS55" s="8">
        <f t="shared" si="29"/>
        <v>0</v>
      </c>
      <c r="AT55" s="8">
        <f t="shared" si="29"/>
        <v>0</v>
      </c>
      <c r="AU55" s="8">
        <f t="shared" si="29"/>
        <v>0</v>
      </c>
      <c r="AV55" s="8">
        <f>AV50</f>
        <v>0</v>
      </c>
    </row>
    <row r="56" spans="16:48" x14ac:dyDescent="0.25">
      <c r="Q56">
        <f t="shared" ref="Q56:AM56" si="30">$AN$3*Y2</f>
        <v>0</v>
      </c>
      <c r="R56">
        <f t="shared" si="30"/>
        <v>0</v>
      </c>
      <c r="S56">
        <f t="shared" si="30"/>
        <v>0</v>
      </c>
      <c r="T56">
        <f t="shared" si="30"/>
        <v>0</v>
      </c>
      <c r="U56">
        <f t="shared" si="30"/>
        <v>0</v>
      </c>
      <c r="V56">
        <f t="shared" si="30"/>
        <v>0</v>
      </c>
      <c r="W56">
        <f t="shared" si="30"/>
        <v>0</v>
      </c>
      <c r="X56">
        <f t="shared" si="30"/>
        <v>0</v>
      </c>
      <c r="Y56">
        <f t="shared" si="30"/>
        <v>0</v>
      </c>
      <c r="Z56">
        <f t="shared" si="30"/>
        <v>0</v>
      </c>
      <c r="AA56">
        <f t="shared" si="30"/>
        <v>0</v>
      </c>
      <c r="AB56">
        <f t="shared" si="30"/>
        <v>0</v>
      </c>
      <c r="AC56">
        <f t="shared" si="30"/>
        <v>0</v>
      </c>
      <c r="AD56">
        <f t="shared" si="30"/>
        <v>0</v>
      </c>
      <c r="AE56">
        <f t="shared" si="30"/>
        <v>0</v>
      </c>
      <c r="AF56">
        <f t="shared" si="30"/>
        <v>0</v>
      </c>
      <c r="AG56">
        <f t="shared" si="30"/>
        <v>0</v>
      </c>
      <c r="AH56">
        <f t="shared" si="30"/>
        <v>0</v>
      </c>
      <c r="AI56">
        <f t="shared" si="30"/>
        <v>0</v>
      </c>
      <c r="AJ56">
        <f t="shared" si="30"/>
        <v>0</v>
      </c>
      <c r="AK56">
        <f t="shared" si="30"/>
        <v>0</v>
      </c>
      <c r="AL56">
        <f t="shared" si="30"/>
        <v>0</v>
      </c>
      <c r="AM56">
        <f t="shared" si="30"/>
        <v>0</v>
      </c>
      <c r="AN56">
        <f>$AN$3*AV2</f>
        <v>0</v>
      </c>
      <c r="AO56" s="21">
        <v>0</v>
      </c>
      <c r="AP56" s="21">
        <v>0</v>
      </c>
      <c r="AQ56" s="21">
        <v>0</v>
      </c>
      <c r="AR56" s="21">
        <v>0</v>
      </c>
      <c r="AS56" s="21">
        <v>0</v>
      </c>
      <c r="AT56" s="21">
        <v>0</v>
      </c>
      <c r="AU56" s="21">
        <v>0</v>
      </c>
      <c r="AV56" s="21">
        <v>0</v>
      </c>
    </row>
    <row r="57" spans="16:48" x14ac:dyDescent="0.25">
      <c r="Q57" s="11">
        <f t="shared" ref="Q57:AV57" si="31">IF(OR(AND(Q54=0,Q55=0,Q56=0),AND(Q54=1,Q55=1,Q56=0),AND(Q54=0,Q55=1,Q56=1),AND(Q54=1,Q55=0,Q56=1)),0,1)</f>
        <v>0</v>
      </c>
      <c r="R57" s="11">
        <f t="shared" si="31"/>
        <v>0</v>
      </c>
      <c r="S57" s="11">
        <f t="shared" si="31"/>
        <v>0</v>
      </c>
      <c r="T57" s="11">
        <f t="shared" si="31"/>
        <v>0</v>
      </c>
      <c r="U57" s="11">
        <f t="shared" si="31"/>
        <v>0</v>
      </c>
      <c r="V57" s="11">
        <f t="shared" si="31"/>
        <v>0</v>
      </c>
      <c r="W57" s="11">
        <f t="shared" si="31"/>
        <v>0</v>
      </c>
      <c r="X57" s="11">
        <f t="shared" si="31"/>
        <v>0</v>
      </c>
      <c r="Y57" s="11">
        <f t="shared" si="31"/>
        <v>0</v>
      </c>
      <c r="Z57" s="11">
        <f t="shared" si="31"/>
        <v>0</v>
      </c>
      <c r="AA57" s="11">
        <f t="shared" si="31"/>
        <v>0</v>
      </c>
      <c r="AB57" s="11">
        <f t="shared" si="31"/>
        <v>0</v>
      </c>
      <c r="AC57" s="11">
        <f t="shared" si="31"/>
        <v>0</v>
      </c>
      <c r="AD57" s="11">
        <f t="shared" si="31"/>
        <v>0</v>
      </c>
      <c r="AE57" s="11">
        <f t="shared" si="31"/>
        <v>0</v>
      </c>
      <c r="AF57" s="11">
        <f t="shared" si="31"/>
        <v>0</v>
      </c>
      <c r="AG57" s="11">
        <f t="shared" si="31"/>
        <v>0</v>
      </c>
      <c r="AH57" s="11">
        <f t="shared" si="31"/>
        <v>0</v>
      </c>
      <c r="AI57" s="11">
        <f t="shared" si="31"/>
        <v>0</v>
      </c>
      <c r="AJ57" s="11">
        <f t="shared" si="31"/>
        <v>0</v>
      </c>
      <c r="AK57" s="11">
        <f t="shared" si="31"/>
        <v>0</v>
      </c>
      <c r="AL57" s="11">
        <f t="shared" si="31"/>
        <v>0</v>
      </c>
      <c r="AM57" s="11">
        <f t="shared" si="31"/>
        <v>0</v>
      </c>
      <c r="AN57" s="11">
        <f t="shared" si="31"/>
        <v>0</v>
      </c>
      <c r="AO57" s="11">
        <f t="shared" si="31"/>
        <v>0</v>
      </c>
      <c r="AP57" s="11">
        <f t="shared" si="31"/>
        <v>0</v>
      </c>
      <c r="AQ57" s="11">
        <f t="shared" si="31"/>
        <v>0</v>
      </c>
      <c r="AR57" s="11">
        <f t="shared" si="31"/>
        <v>0</v>
      </c>
      <c r="AS57" s="11">
        <f t="shared" si="31"/>
        <v>0</v>
      </c>
      <c r="AT57" s="11">
        <f t="shared" si="31"/>
        <v>0</v>
      </c>
      <c r="AU57" s="11">
        <f t="shared" si="31"/>
        <v>0</v>
      </c>
      <c r="AV57" s="11">
        <f t="shared" si="31"/>
        <v>0</v>
      </c>
    </row>
    <row r="61" spans="16:48" x14ac:dyDescent="0.25">
      <c r="P61" s="12">
        <f t="shared" ref="P61:AU61" si="32">--+IF(OR(AND(Q61=0,Q62=0,Q63=0),AND(Q61=1,Q62=0,Q63=0),AND(Q61=0,Q62=1,Q63=0),AND(Q61=0,Q62=0,Q63=1)),0,1)</f>
        <v>0</v>
      </c>
      <c r="Q61" s="12">
        <f t="shared" si="32"/>
        <v>0</v>
      </c>
      <c r="R61" s="12">
        <f t="shared" si="32"/>
        <v>0</v>
      </c>
      <c r="S61" s="12">
        <f t="shared" si="32"/>
        <v>0</v>
      </c>
      <c r="T61" s="12">
        <f t="shared" si="32"/>
        <v>0</v>
      </c>
      <c r="U61" s="12">
        <f t="shared" si="32"/>
        <v>0</v>
      </c>
      <c r="V61" s="12">
        <f t="shared" si="32"/>
        <v>0</v>
      </c>
      <c r="W61" s="12">
        <f t="shared" si="32"/>
        <v>0</v>
      </c>
      <c r="X61" s="12">
        <f t="shared" si="32"/>
        <v>0</v>
      </c>
      <c r="Y61" s="12">
        <f t="shared" si="32"/>
        <v>0</v>
      </c>
      <c r="Z61" s="12">
        <f t="shared" si="32"/>
        <v>0</v>
      </c>
      <c r="AA61" s="12">
        <f t="shared" si="32"/>
        <v>0</v>
      </c>
      <c r="AB61" s="12">
        <f t="shared" si="32"/>
        <v>0</v>
      </c>
      <c r="AC61" s="12">
        <f t="shared" si="32"/>
        <v>0</v>
      </c>
      <c r="AD61" s="12">
        <f t="shared" si="32"/>
        <v>0</v>
      </c>
      <c r="AE61" s="12">
        <f t="shared" si="32"/>
        <v>0</v>
      </c>
      <c r="AF61" s="12">
        <f t="shared" si="32"/>
        <v>0</v>
      </c>
      <c r="AG61" s="12">
        <f t="shared" si="32"/>
        <v>0</v>
      </c>
      <c r="AH61" s="12">
        <f t="shared" si="32"/>
        <v>0</v>
      </c>
      <c r="AI61" s="12">
        <f t="shared" si="32"/>
        <v>0</v>
      </c>
      <c r="AJ61" s="12">
        <f t="shared" si="32"/>
        <v>0</v>
      </c>
      <c r="AK61" s="12">
        <f t="shared" si="32"/>
        <v>0</v>
      </c>
      <c r="AL61" s="12">
        <f t="shared" si="32"/>
        <v>0</v>
      </c>
      <c r="AM61" s="12">
        <f t="shared" si="32"/>
        <v>0</v>
      </c>
      <c r="AN61" s="12">
        <f t="shared" si="32"/>
        <v>0</v>
      </c>
      <c r="AO61" s="12">
        <f t="shared" si="32"/>
        <v>0</v>
      </c>
      <c r="AP61" s="12">
        <f t="shared" si="32"/>
        <v>0</v>
      </c>
      <c r="AQ61" s="12">
        <f t="shared" si="32"/>
        <v>0</v>
      </c>
      <c r="AR61" s="12">
        <f t="shared" si="32"/>
        <v>0</v>
      </c>
      <c r="AS61" s="12">
        <f t="shared" si="32"/>
        <v>0</v>
      </c>
      <c r="AT61" s="12">
        <f t="shared" si="32"/>
        <v>0</v>
      </c>
      <c r="AU61" s="12">
        <f t="shared" si="32"/>
        <v>0</v>
      </c>
    </row>
    <row r="62" spans="16:48" x14ac:dyDescent="0.25">
      <c r="Q62" s="8">
        <f t="shared" ref="Q62:AU62" si="33">Q57</f>
        <v>0</v>
      </c>
      <c r="R62" s="8">
        <f t="shared" si="33"/>
        <v>0</v>
      </c>
      <c r="S62" s="8">
        <f t="shared" si="33"/>
        <v>0</v>
      </c>
      <c r="T62" s="8">
        <f t="shared" si="33"/>
        <v>0</v>
      </c>
      <c r="U62" s="8">
        <f t="shared" si="33"/>
        <v>0</v>
      </c>
      <c r="V62" s="8">
        <f t="shared" si="33"/>
        <v>0</v>
      </c>
      <c r="W62" s="8">
        <f t="shared" si="33"/>
        <v>0</v>
      </c>
      <c r="X62" s="8">
        <f t="shared" si="33"/>
        <v>0</v>
      </c>
      <c r="Y62" s="8">
        <f t="shared" si="33"/>
        <v>0</v>
      </c>
      <c r="Z62" s="8">
        <f t="shared" si="33"/>
        <v>0</v>
      </c>
      <c r="AA62" s="8">
        <f t="shared" si="33"/>
        <v>0</v>
      </c>
      <c r="AB62" s="8">
        <f t="shared" si="33"/>
        <v>0</v>
      </c>
      <c r="AC62" s="8">
        <f t="shared" si="33"/>
        <v>0</v>
      </c>
      <c r="AD62" s="8">
        <f t="shared" si="33"/>
        <v>0</v>
      </c>
      <c r="AE62" s="8">
        <f t="shared" si="33"/>
        <v>0</v>
      </c>
      <c r="AF62" s="8">
        <f t="shared" si="33"/>
        <v>0</v>
      </c>
      <c r="AG62" s="8">
        <f t="shared" si="33"/>
        <v>0</v>
      </c>
      <c r="AH62" s="8">
        <f t="shared" si="33"/>
        <v>0</v>
      </c>
      <c r="AI62" s="8">
        <f t="shared" si="33"/>
        <v>0</v>
      </c>
      <c r="AJ62" s="8">
        <f t="shared" si="33"/>
        <v>0</v>
      </c>
      <c r="AK62" s="8">
        <f t="shared" si="33"/>
        <v>0</v>
      </c>
      <c r="AL62" s="8">
        <f t="shared" si="33"/>
        <v>0</v>
      </c>
      <c r="AM62" s="8">
        <f t="shared" si="33"/>
        <v>0</v>
      </c>
      <c r="AN62" s="8">
        <f t="shared" si="33"/>
        <v>0</v>
      </c>
      <c r="AO62" s="8">
        <f t="shared" si="33"/>
        <v>0</v>
      </c>
      <c r="AP62" s="8">
        <f t="shared" si="33"/>
        <v>0</v>
      </c>
      <c r="AQ62" s="8">
        <f t="shared" si="33"/>
        <v>0</v>
      </c>
      <c r="AR62" s="8">
        <f t="shared" si="33"/>
        <v>0</v>
      </c>
      <c r="AS62" s="8">
        <f t="shared" si="33"/>
        <v>0</v>
      </c>
      <c r="AT62" s="8">
        <f t="shared" si="33"/>
        <v>0</v>
      </c>
      <c r="AU62" s="8">
        <f t="shared" si="33"/>
        <v>0</v>
      </c>
      <c r="AV62" s="8">
        <f>AV57</f>
        <v>0</v>
      </c>
    </row>
    <row r="63" spans="16:48" x14ac:dyDescent="0.25">
      <c r="Q63">
        <f t="shared" ref="Q63:AL63" si="34">$AM$3*Z2</f>
        <v>0</v>
      </c>
      <c r="R63">
        <f t="shared" si="34"/>
        <v>0</v>
      </c>
      <c r="S63">
        <f t="shared" si="34"/>
        <v>0</v>
      </c>
      <c r="T63">
        <f t="shared" si="34"/>
        <v>0</v>
      </c>
      <c r="U63">
        <f t="shared" si="34"/>
        <v>0</v>
      </c>
      <c r="V63">
        <f t="shared" si="34"/>
        <v>0</v>
      </c>
      <c r="W63">
        <f t="shared" si="34"/>
        <v>0</v>
      </c>
      <c r="X63">
        <f t="shared" si="34"/>
        <v>0</v>
      </c>
      <c r="Y63">
        <f t="shared" si="34"/>
        <v>0</v>
      </c>
      <c r="Z63">
        <f t="shared" si="34"/>
        <v>0</v>
      </c>
      <c r="AA63">
        <f t="shared" si="34"/>
        <v>0</v>
      </c>
      <c r="AB63">
        <f t="shared" si="34"/>
        <v>0</v>
      </c>
      <c r="AC63">
        <f t="shared" si="34"/>
        <v>0</v>
      </c>
      <c r="AD63">
        <f t="shared" si="34"/>
        <v>0</v>
      </c>
      <c r="AE63">
        <f t="shared" si="34"/>
        <v>0</v>
      </c>
      <c r="AF63">
        <f t="shared" si="34"/>
        <v>0</v>
      </c>
      <c r="AG63">
        <f t="shared" si="34"/>
        <v>0</v>
      </c>
      <c r="AH63">
        <f t="shared" si="34"/>
        <v>0</v>
      </c>
      <c r="AI63">
        <f t="shared" si="34"/>
        <v>0</v>
      </c>
      <c r="AJ63">
        <f t="shared" si="34"/>
        <v>0</v>
      </c>
      <c r="AK63">
        <f t="shared" si="34"/>
        <v>0</v>
      </c>
      <c r="AL63">
        <f t="shared" si="34"/>
        <v>0</v>
      </c>
      <c r="AM63">
        <f>$AM$3*AV2</f>
        <v>0</v>
      </c>
      <c r="AN63" s="21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1">
        <v>0</v>
      </c>
      <c r="AV63" s="21">
        <v>0</v>
      </c>
    </row>
    <row r="64" spans="16:48" x14ac:dyDescent="0.25">
      <c r="Q64" s="11">
        <f t="shared" ref="Q64:AV64" si="35">IF(OR(AND(Q61=0,Q62=0,Q63=0),AND(Q61=1,Q62=1,Q63=0),AND(Q61=0,Q62=1,Q63=1),AND(Q61=1,Q62=0,Q63=1)),0,1)</f>
        <v>0</v>
      </c>
      <c r="R64" s="11">
        <f t="shared" si="35"/>
        <v>0</v>
      </c>
      <c r="S64" s="11">
        <f t="shared" si="35"/>
        <v>0</v>
      </c>
      <c r="T64" s="11">
        <f t="shared" si="35"/>
        <v>0</v>
      </c>
      <c r="U64" s="11">
        <f t="shared" si="35"/>
        <v>0</v>
      </c>
      <c r="V64" s="11">
        <f t="shared" si="35"/>
        <v>0</v>
      </c>
      <c r="W64" s="11">
        <f t="shared" si="35"/>
        <v>0</v>
      </c>
      <c r="X64" s="11">
        <f t="shared" si="35"/>
        <v>0</v>
      </c>
      <c r="Y64" s="11">
        <f t="shared" si="35"/>
        <v>0</v>
      </c>
      <c r="Z64" s="11">
        <f t="shared" si="35"/>
        <v>0</v>
      </c>
      <c r="AA64" s="11">
        <f t="shared" si="35"/>
        <v>0</v>
      </c>
      <c r="AB64" s="11">
        <f t="shared" si="35"/>
        <v>0</v>
      </c>
      <c r="AC64" s="11">
        <f t="shared" si="35"/>
        <v>0</v>
      </c>
      <c r="AD64" s="11">
        <f t="shared" si="35"/>
        <v>0</v>
      </c>
      <c r="AE64" s="11">
        <f t="shared" si="35"/>
        <v>0</v>
      </c>
      <c r="AF64" s="11">
        <f t="shared" si="35"/>
        <v>0</v>
      </c>
      <c r="AG64" s="11">
        <f t="shared" si="35"/>
        <v>0</v>
      </c>
      <c r="AH64" s="11">
        <f t="shared" si="35"/>
        <v>0</v>
      </c>
      <c r="AI64" s="11">
        <f t="shared" si="35"/>
        <v>0</v>
      </c>
      <c r="AJ64" s="11">
        <f t="shared" si="35"/>
        <v>0</v>
      </c>
      <c r="AK64" s="11">
        <f t="shared" si="35"/>
        <v>0</v>
      </c>
      <c r="AL64" s="11">
        <f t="shared" si="35"/>
        <v>0</v>
      </c>
      <c r="AM64" s="11">
        <f t="shared" si="35"/>
        <v>0</v>
      </c>
      <c r="AN64" s="11">
        <f t="shared" si="35"/>
        <v>0</v>
      </c>
      <c r="AO64" s="11">
        <f t="shared" si="35"/>
        <v>0</v>
      </c>
      <c r="AP64" s="11">
        <f t="shared" si="35"/>
        <v>0</v>
      </c>
      <c r="AQ64" s="11">
        <f t="shared" si="35"/>
        <v>0</v>
      </c>
      <c r="AR64" s="11">
        <f t="shared" si="35"/>
        <v>0</v>
      </c>
      <c r="AS64" s="11">
        <f t="shared" si="35"/>
        <v>0</v>
      </c>
      <c r="AT64" s="11">
        <f t="shared" si="35"/>
        <v>0</v>
      </c>
      <c r="AU64" s="11">
        <f t="shared" si="35"/>
        <v>0</v>
      </c>
      <c r="AV64" s="11">
        <f t="shared" si="35"/>
        <v>0</v>
      </c>
    </row>
    <row r="68" spans="16:48" x14ac:dyDescent="0.25">
      <c r="P68" s="12">
        <f t="shared" ref="P68:AU68" si="36">--+IF(OR(AND(Q68=0,Q69=0,Q70=0),AND(Q68=1,Q69=0,Q70=0),AND(Q68=0,Q69=1,Q70=0),AND(Q68=0,Q69=0,Q70=1)),0,1)</f>
        <v>0</v>
      </c>
      <c r="Q68" s="12">
        <f t="shared" si="36"/>
        <v>0</v>
      </c>
      <c r="R68" s="12">
        <f t="shared" si="36"/>
        <v>0</v>
      </c>
      <c r="S68" s="12">
        <f t="shared" si="36"/>
        <v>0</v>
      </c>
      <c r="T68" s="12">
        <f t="shared" si="36"/>
        <v>0</v>
      </c>
      <c r="U68" s="12">
        <f t="shared" si="36"/>
        <v>0</v>
      </c>
      <c r="V68" s="12">
        <f t="shared" si="36"/>
        <v>0</v>
      </c>
      <c r="W68" s="12">
        <f t="shared" si="36"/>
        <v>0</v>
      </c>
      <c r="X68" s="12">
        <f t="shared" si="36"/>
        <v>0</v>
      </c>
      <c r="Y68" s="12">
        <f t="shared" si="36"/>
        <v>0</v>
      </c>
      <c r="Z68" s="12">
        <f t="shared" si="36"/>
        <v>0</v>
      </c>
      <c r="AA68" s="12">
        <f t="shared" si="36"/>
        <v>0</v>
      </c>
      <c r="AB68" s="12">
        <f t="shared" si="36"/>
        <v>0</v>
      </c>
      <c r="AC68" s="12">
        <f t="shared" si="36"/>
        <v>0</v>
      </c>
      <c r="AD68" s="12">
        <f t="shared" si="36"/>
        <v>0</v>
      </c>
      <c r="AE68" s="12">
        <f t="shared" si="36"/>
        <v>0</v>
      </c>
      <c r="AF68" s="12">
        <f t="shared" si="36"/>
        <v>0</v>
      </c>
      <c r="AG68" s="12">
        <f t="shared" si="36"/>
        <v>0</v>
      </c>
      <c r="AH68" s="12">
        <f t="shared" si="36"/>
        <v>0</v>
      </c>
      <c r="AI68" s="12">
        <f t="shared" si="36"/>
        <v>0</v>
      </c>
      <c r="AJ68" s="12">
        <f t="shared" si="36"/>
        <v>0</v>
      </c>
      <c r="AK68" s="12">
        <f t="shared" si="36"/>
        <v>0</v>
      </c>
      <c r="AL68" s="12">
        <f t="shared" si="36"/>
        <v>0</v>
      </c>
      <c r="AM68" s="12">
        <f t="shared" si="36"/>
        <v>0</v>
      </c>
      <c r="AN68" s="12">
        <f t="shared" si="36"/>
        <v>0</v>
      </c>
      <c r="AO68" s="12">
        <f t="shared" si="36"/>
        <v>0</v>
      </c>
      <c r="AP68" s="12">
        <f t="shared" si="36"/>
        <v>0</v>
      </c>
      <c r="AQ68" s="12">
        <f t="shared" si="36"/>
        <v>0</v>
      </c>
      <c r="AR68" s="12">
        <f t="shared" si="36"/>
        <v>0</v>
      </c>
      <c r="AS68" s="12">
        <f t="shared" si="36"/>
        <v>0</v>
      </c>
      <c r="AT68" s="12">
        <f t="shared" si="36"/>
        <v>0</v>
      </c>
      <c r="AU68" s="12">
        <f t="shared" si="36"/>
        <v>0</v>
      </c>
    </row>
    <row r="69" spans="16:48" x14ac:dyDescent="0.25">
      <c r="Q69" s="8">
        <f t="shared" ref="Q69:AU69" si="37">Q64</f>
        <v>0</v>
      </c>
      <c r="R69" s="8">
        <f t="shared" si="37"/>
        <v>0</v>
      </c>
      <c r="S69" s="8">
        <f t="shared" si="37"/>
        <v>0</v>
      </c>
      <c r="T69" s="8">
        <f t="shared" si="37"/>
        <v>0</v>
      </c>
      <c r="U69" s="8">
        <f t="shared" si="37"/>
        <v>0</v>
      </c>
      <c r="V69" s="8">
        <f t="shared" si="37"/>
        <v>0</v>
      </c>
      <c r="W69" s="8">
        <f t="shared" si="37"/>
        <v>0</v>
      </c>
      <c r="X69" s="8">
        <f t="shared" si="37"/>
        <v>0</v>
      </c>
      <c r="Y69" s="8">
        <f t="shared" si="37"/>
        <v>0</v>
      </c>
      <c r="Z69" s="8">
        <f t="shared" si="37"/>
        <v>0</v>
      </c>
      <c r="AA69" s="8">
        <f t="shared" si="37"/>
        <v>0</v>
      </c>
      <c r="AB69" s="8">
        <f t="shared" si="37"/>
        <v>0</v>
      </c>
      <c r="AC69" s="8">
        <f t="shared" si="37"/>
        <v>0</v>
      </c>
      <c r="AD69" s="8">
        <f t="shared" si="37"/>
        <v>0</v>
      </c>
      <c r="AE69" s="8">
        <f t="shared" si="37"/>
        <v>0</v>
      </c>
      <c r="AF69" s="8">
        <f t="shared" si="37"/>
        <v>0</v>
      </c>
      <c r="AG69" s="8">
        <f t="shared" si="37"/>
        <v>0</v>
      </c>
      <c r="AH69" s="8">
        <f t="shared" si="37"/>
        <v>0</v>
      </c>
      <c r="AI69" s="8">
        <f t="shared" si="37"/>
        <v>0</v>
      </c>
      <c r="AJ69" s="8">
        <f t="shared" si="37"/>
        <v>0</v>
      </c>
      <c r="AK69" s="8">
        <f t="shared" si="37"/>
        <v>0</v>
      </c>
      <c r="AL69" s="8">
        <f t="shared" si="37"/>
        <v>0</v>
      </c>
      <c r="AM69" s="8">
        <f t="shared" si="37"/>
        <v>0</v>
      </c>
      <c r="AN69" s="8">
        <f t="shared" si="37"/>
        <v>0</v>
      </c>
      <c r="AO69" s="8">
        <f t="shared" si="37"/>
        <v>0</v>
      </c>
      <c r="AP69" s="8">
        <f t="shared" si="37"/>
        <v>0</v>
      </c>
      <c r="AQ69" s="8">
        <f t="shared" si="37"/>
        <v>0</v>
      </c>
      <c r="AR69" s="8">
        <f t="shared" si="37"/>
        <v>0</v>
      </c>
      <c r="AS69" s="8">
        <f t="shared" si="37"/>
        <v>0</v>
      </c>
      <c r="AT69" s="8">
        <f t="shared" si="37"/>
        <v>0</v>
      </c>
      <c r="AU69" s="8">
        <f t="shared" si="37"/>
        <v>0</v>
      </c>
      <c r="AV69" s="8">
        <f>AV64</f>
        <v>0</v>
      </c>
    </row>
    <row r="70" spans="16:48" x14ac:dyDescent="0.25">
      <c r="Q70">
        <f t="shared" ref="Q70:AK70" si="38">$AL$3*AA2</f>
        <v>0</v>
      </c>
      <c r="R70">
        <f t="shared" si="38"/>
        <v>0</v>
      </c>
      <c r="S70">
        <f t="shared" si="38"/>
        <v>0</v>
      </c>
      <c r="T70">
        <f t="shared" si="38"/>
        <v>0</v>
      </c>
      <c r="U70">
        <f t="shared" si="38"/>
        <v>0</v>
      </c>
      <c r="V70">
        <f t="shared" si="38"/>
        <v>0</v>
      </c>
      <c r="W70">
        <f t="shared" si="38"/>
        <v>0</v>
      </c>
      <c r="X70">
        <f t="shared" si="38"/>
        <v>0</v>
      </c>
      <c r="Y70">
        <f t="shared" si="38"/>
        <v>0</v>
      </c>
      <c r="Z70">
        <f t="shared" si="38"/>
        <v>0</v>
      </c>
      <c r="AA70">
        <f t="shared" si="38"/>
        <v>0</v>
      </c>
      <c r="AB70">
        <f t="shared" si="38"/>
        <v>0</v>
      </c>
      <c r="AC70">
        <f t="shared" si="38"/>
        <v>0</v>
      </c>
      <c r="AD70">
        <f t="shared" si="38"/>
        <v>0</v>
      </c>
      <c r="AE70">
        <f t="shared" si="38"/>
        <v>0</v>
      </c>
      <c r="AF70">
        <f t="shared" si="38"/>
        <v>0</v>
      </c>
      <c r="AG70">
        <f t="shared" si="38"/>
        <v>0</v>
      </c>
      <c r="AH70">
        <f t="shared" si="38"/>
        <v>0</v>
      </c>
      <c r="AI70">
        <f t="shared" si="38"/>
        <v>0</v>
      </c>
      <c r="AJ70">
        <f t="shared" si="38"/>
        <v>0</v>
      </c>
      <c r="AK70">
        <f t="shared" si="38"/>
        <v>0</v>
      </c>
      <c r="AL70">
        <f>$AL$3*AV2</f>
        <v>0</v>
      </c>
      <c r="AM70" s="21">
        <v>0</v>
      </c>
      <c r="AN70" s="21">
        <v>0</v>
      </c>
      <c r="AO70" s="21">
        <v>0</v>
      </c>
      <c r="AP70" s="21">
        <v>0</v>
      </c>
      <c r="AQ70" s="21">
        <v>0</v>
      </c>
      <c r="AR70" s="21">
        <v>0</v>
      </c>
      <c r="AS70" s="21">
        <v>0</v>
      </c>
      <c r="AT70" s="21">
        <v>0</v>
      </c>
      <c r="AU70" s="21">
        <v>0</v>
      </c>
      <c r="AV70" s="21">
        <v>0</v>
      </c>
    </row>
    <row r="71" spans="16:48" x14ac:dyDescent="0.25">
      <c r="Q71" s="11">
        <f t="shared" ref="Q71:AV71" si="39">IF(OR(AND(Q68=0,Q69=0,Q70=0),AND(Q68=1,Q69=1,Q70=0),AND(Q68=0,Q69=1,Q70=1),AND(Q68=1,Q69=0,Q70=1)),0,1)</f>
        <v>0</v>
      </c>
      <c r="R71" s="11">
        <f t="shared" si="39"/>
        <v>0</v>
      </c>
      <c r="S71" s="11">
        <f t="shared" si="39"/>
        <v>0</v>
      </c>
      <c r="T71" s="11">
        <f t="shared" si="39"/>
        <v>0</v>
      </c>
      <c r="U71" s="11">
        <f t="shared" si="39"/>
        <v>0</v>
      </c>
      <c r="V71" s="11">
        <f t="shared" si="39"/>
        <v>0</v>
      </c>
      <c r="W71" s="11">
        <f t="shared" si="39"/>
        <v>0</v>
      </c>
      <c r="X71" s="11">
        <f t="shared" si="39"/>
        <v>0</v>
      </c>
      <c r="Y71" s="11">
        <f t="shared" si="39"/>
        <v>0</v>
      </c>
      <c r="Z71" s="11">
        <f t="shared" si="39"/>
        <v>0</v>
      </c>
      <c r="AA71" s="11">
        <f t="shared" si="39"/>
        <v>0</v>
      </c>
      <c r="AB71" s="11">
        <f t="shared" si="39"/>
        <v>0</v>
      </c>
      <c r="AC71" s="11">
        <f t="shared" si="39"/>
        <v>0</v>
      </c>
      <c r="AD71" s="11">
        <f t="shared" si="39"/>
        <v>0</v>
      </c>
      <c r="AE71" s="11">
        <f t="shared" si="39"/>
        <v>0</v>
      </c>
      <c r="AF71" s="11">
        <f t="shared" si="39"/>
        <v>0</v>
      </c>
      <c r="AG71" s="11">
        <f t="shared" si="39"/>
        <v>0</v>
      </c>
      <c r="AH71" s="11">
        <f t="shared" si="39"/>
        <v>0</v>
      </c>
      <c r="AI71" s="11">
        <f t="shared" si="39"/>
        <v>0</v>
      </c>
      <c r="AJ71" s="11">
        <f t="shared" si="39"/>
        <v>0</v>
      </c>
      <c r="AK71" s="11">
        <f t="shared" si="39"/>
        <v>0</v>
      </c>
      <c r="AL71" s="11">
        <f t="shared" si="39"/>
        <v>0</v>
      </c>
      <c r="AM71" s="11">
        <f t="shared" si="39"/>
        <v>0</v>
      </c>
      <c r="AN71" s="11">
        <f t="shared" si="39"/>
        <v>0</v>
      </c>
      <c r="AO71" s="11">
        <f t="shared" si="39"/>
        <v>0</v>
      </c>
      <c r="AP71" s="11">
        <f t="shared" si="39"/>
        <v>0</v>
      </c>
      <c r="AQ71" s="11">
        <f t="shared" si="39"/>
        <v>0</v>
      </c>
      <c r="AR71" s="11">
        <f t="shared" si="39"/>
        <v>0</v>
      </c>
      <c r="AS71" s="11">
        <f t="shared" si="39"/>
        <v>0</v>
      </c>
      <c r="AT71" s="11">
        <f t="shared" si="39"/>
        <v>0</v>
      </c>
      <c r="AU71" s="11">
        <f t="shared" si="39"/>
        <v>0</v>
      </c>
      <c r="AV71" s="11">
        <f t="shared" si="39"/>
        <v>0</v>
      </c>
    </row>
    <row r="75" spans="16:48" x14ac:dyDescent="0.25">
      <c r="P75" s="12">
        <f t="shared" ref="P75:AU75" si="40">--+IF(OR(AND(Q75=0,Q76=0,Q77=0),AND(Q75=1,Q76=0,Q77=0),AND(Q75=0,Q76=1,Q77=0),AND(Q75=0,Q76=0,Q77=1)),0,1)</f>
        <v>0</v>
      </c>
      <c r="Q75" s="12">
        <f t="shared" si="40"/>
        <v>0</v>
      </c>
      <c r="R75" s="12">
        <f t="shared" si="40"/>
        <v>0</v>
      </c>
      <c r="S75" s="12">
        <f t="shared" si="40"/>
        <v>0</v>
      </c>
      <c r="T75" s="12">
        <f t="shared" si="40"/>
        <v>0</v>
      </c>
      <c r="U75" s="12">
        <f t="shared" si="40"/>
        <v>0</v>
      </c>
      <c r="V75" s="12">
        <f t="shared" si="40"/>
        <v>0</v>
      </c>
      <c r="W75" s="12">
        <f t="shared" si="40"/>
        <v>0</v>
      </c>
      <c r="X75" s="12">
        <f t="shared" si="40"/>
        <v>0</v>
      </c>
      <c r="Y75" s="12">
        <f t="shared" si="40"/>
        <v>0</v>
      </c>
      <c r="Z75" s="12">
        <f t="shared" si="40"/>
        <v>0</v>
      </c>
      <c r="AA75" s="12">
        <f t="shared" si="40"/>
        <v>0</v>
      </c>
      <c r="AB75" s="12">
        <f t="shared" si="40"/>
        <v>0</v>
      </c>
      <c r="AC75" s="12">
        <f t="shared" si="40"/>
        <v>0</v>
      </c>
      <c r="AD75" s="12">
        <f t="shared" si="40"/>
        <v>0</v>
      </c>
      <c r="AE75" s="12">
        <f t="shared" si="40"/>
        <v>0</v>
      </c>
      <c r="AF75" s="12">
        <f t="shared" si="40"/>
        <v>0</v>
      </c>
      <c r="AG75" s="12">
        <f t="shared" si="40"/>
        <v>0</v>
      </c>
      <c r="AH75" s="12">
        <f t="shared" si="40"/>
        <v>0</v>
      </c>
      <c r="AI75" s="12">
        <f t="shared" si="40"/>
        <v>0</v>
      </c>
      <c r="AJ75" s="12">
        <f t="shared" si="40"/>
        <v>0</v>
      </c>
      <c r="AK75" s="12">
        <f t="shared" si="40"/>
        <v>0</v>
      </c>
      <c r="AL75" s="12">
        <f t="shared" si="40"/>
        <v>0</v>
      </c>
      <c r="AM75" s="12">
        <f t="shared" si="40"/>
        <v>0</v>
      </c>
      <c r="AN75" s="12">
        <f t="shared" si="40"/>
        <v>0</v>
      </c>
      <c r="AO75" s="12">
        <f t="shared" si="40"/>
        <v>0</v>
      </c>
      <c r="AP75" s="12">
        <f t="shared" si="40"/>
        <v>0</v>
      </c>
      <c r="AQ75" s="12">
        <f t="shared" si="40"/>
        <v>0</v>
      </c>
      <c r="AR75" s="12">
        <f t="shared" si="40"/>
        <v>0</v>
      </c>
      <c r="AS75" s="12">
        <f t="shared" si="40"/>
        <v>0</v>
      </c>
      <c r="AT75" s="12">
        <f t="shared" si="40"/>
        <v>0</v>
      </c>
      <c r="AU75" s="12">
        <f t="shared" si="40"/>
        <v>0</v>
      </c>
    </row>
    <row r="76" spans="16:48" x14ac:dyDescent="0.25">
      <c r="Q76" s="8">
        <f t="shared" ref="Q76:AU76" si="41">Q71</f>
        <v>0</v>
      </c>
      <c r="R76" s="8">
        <f t="shared" si="41"/>
        <v>0</v>
      </c>
      <c r="S76" s="8">
        <f t="shared" si="41"/>
        <v>0</v>
      </c>
      <c r="T76" s="8">
        <f t="shared" si="41"/>
        <v>0</v>
      </c>
      <c r="U76" s="8">
        <f t="shared" si="41"/>
        <v>0</v>
      </c>
      <c r="V76" s="8">
        <f t="shared" si="41"/>
        <v>0</v>
      </c>
      <c r="W76" s="8">
        <f t="shared" si="41"/>
        <v>0</v>
      </c>
      <c r="X76" s="8">
        <f t="shared" si="41"/>
        <v>0</v>
      </c>
      <c r="Y76" s="8">
        <f t="shared" si="41"/>
        <v>0</v>
      </c>
      <c r="Z76" s="8">
        <f t="shared" si="41"/>
        <v>0</v>
      </c>
      <c r="AA76" s="8">
        <f t="shared" si="41"/>
        <v>0</v>
      </c>
      <c r="AB76" s="8">
        <f t="shared" si="41"/>
        <v>0</v>
      </c>
      <c r="AC76" s="8">
        <f t="shared" si="41"/>
        <v>0</v>
      </c>
      <c r="AD76" s="8">
        <f t="shared" si="41"/>
        <v>0</v>
      </c>
      <c r="AE76" s="8">
        <f t="shared" si="41"/>
        <v>0</v>
      </c>
      <c r="AF76" s="8">
        <f t="shared" si="41"/>
        <v>0</v>
      </c>
      <c r="AG76" s="8">
        <f t="shared" si="41"/>
        <v>0</v>
      </c>
      <c r="AH76" s="8">
        <f t="shared" si="41"/>
        <v>0</v>
      </c>
      <c r="AI76" s="8">
        <f t="shared" si="41"/>
        <v>0</v>
      </c>
      <c r="AJ76" s="8">
        <f t="shared" si="41"/>
        <v>0</v>
      </c>
      <c r="AK76" s="8">
        <f t="shared" si="41"/>
        <v>0</v>
      </c>
      <c r="AL76" s="8">
        <f t="shared" si="41"/>
        <v>0</v>
      </c>
      <c r="AM76" s="8">
        <f t="shared" si="41"/>
        <v>0</v>
      </c>
      <c r="AN76" s="8">
        <f t="shared" si="41"/>
        <v>0</v>
      </c>
      <c r="AO76" s="8">
        <f t="shared" si="41"/>
        <v>0</v>
      </c>
      <c r="AP76" s="8">
        <f t="shared" si="41"/>
        <v>0</v>
      </c>
      <c r="AQ76" s="8">
        <f t="shared" si="41"/>
        <v>0</v>
      </c>
      <c r="AR76" s="8">
        <f t="shared" si="41"/>
        <v>0</v>
      </c>
      <c r="AS76" s="8">
        <f t="shared" si="41"/>
        <v>0</v>
      </c>
      <c r="AT76" s="8">
        <f t="shared" si="41"/>
        <v>0</v>
      </c>
      <c r="AU76" s="8">
        <f t="shared" si="41"/>
        <v>0</v>
      </c>
      <c r="AV76" s="8">
        <f>AV71</f>
        <v>0</v>
      </c>
    </row>
    <row r="77" spans="16:48" x14ac:dyDescent="0.25">
      <c r="Q77">
        <f t="shared" ref="Q77:AJ77" si="42">$AK$3*AB2</f>
        <v>0</v>
      </c>
      <c r="R77">
        <f t="shared" si="42"/>
        <v>0</v>
      </c>
      <c r="S77">
        <f t="shared" si="42"/>
        <v>0</v>
      </c>
      <c r="T77">
        <f t="shared" si="42"/>
        <v>0</v>
      </c>
      <c r="U77">
        <f t="shared" si="42"/>
        <v>0</v>
      </c>
      <c r="V77">
        <f t="shared" si="42"/>
        <v>0</v>
      </c>
      <c r="W77">
        <f t="shared" si="42"/>
        <v>0</v>
      </c>
      <c r="X77">
        <f t="shared" si="42"/>
        <v>0</v>
      </c>
      <c r="Y77">
        <f t="shared" si="42"/>
        <v>0</v>
      </c>
      <c r="Z77">
        <f t="shared" si="42"/>
        <v>0</v>
      </c>
      <c r="AA77">
        <f t="shared" si="42"/>
        <v>0</v>
      </c>
      <c r="AB77">
        <f t="shared" si="42"/>
        <v>0</v>
      </c>
      <c r="AC77">
        <f t="shared" si="42"/>
        <v>0</v>
      </c>
      <c r="AD77">
        <f t="shared" si="42"/>
        <v>0</v>
      </c>
      <c r="AE77">
        <f t="shared" si="42"/>
        <v>0</v>
      </c>
      <c r="AF77">
        <f t="shared" si="42"/>
        <v>0</v>
      </c>
      <c r="AG77">
        <f t="shared" si="42"/>
        <v>0</v>
      </c>
      <c r="AH77">
        <f t="shared" si="42"/>
        <v>0</v>
      </c>
      <c r="AI77">
        <f t="shared" si="42"/>
        <v>0</v>
      </c>
      <c r="AJ77">
        <f t="shared" si="42"/>
        <v>0</v>
      </c>
      <c r="AK77">
        <f>$AK$3*AV2</f>
        <v>0</v>
      </c>
      <c r="AL77" s="21">
        <v>0</v>
      </c>
      <c r="AM77" s="21">
        <v>0</v>
      </c>
      <c r="AN77" s="21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1">
        <v>0</v>
      </c>
      <c r="AV77" s="21">
        <v>0</v>
      </c>
    </row>
    <row r="78" spans="16:48" x14ac:dyDescent="0.25">
      <c r="Q78" s="11">
        <f t="shared" ref="Q78:AV78" si="43">IF(OR(AND(Q75=0,Q76=0,Q77=0),AND(Q75=1,Q76=1,Q77=0),AND(Q75=0,Q76=1,Q77=1),AND(Q75=1,Q76=0,Q77=1)),0,1)</f>
        <v>0</v>
      </c>
      <c r="R78" s="11">
        <f t="shared" si="43"/>
        <v>0</v>
      </c>
      <c r="S78" s="11">
        <f t="shared" si="43"/>
        <v>0</v>
      </c>
      <c r="T78" s="11">
        <f t="shared" si="43"/>
        <v>0</v>
      </c>
      <c r="U78" s="11">
        <f t="shared" si="43"/>
        <v>0</v>
      </c>
      <c r="V78" s="11">
        <f t="shared" si="43"/>
        <v>0</v>
      </c>
      <c r="W78" s="11">
        <f t="shared" si="43"/>
        <v>0</v>
      </c>
      <c r="X78" s="11">
        <f t="shared" si="43"/>
        <v>0</v>
      </c>
      <c r="Y78" s="11">
        <f t="shared" si="43"/>
        <v>0</v>
      </c>
      <c r="Z78" s="11">
        <f t="shared" si="43"/>
        <v>0</v>
      </c>
      <c r="AA78" s="11">
        <f t="shared" si="43"/>
        <v>0</v>
      </c>
      <c r="AB78" s="11">
        <f t="shared" si="43"/>
        <v>0</v>
      </c>
      <c r="AC78" s="11">
        <f t="shared" si="43"/>
        <v>0</v>
      </c>
      <c r="AD78" s="11">
        <f t="shared" si="43"/>
        <v>0</v>
      </c>
      <c r="AE78" s="11">
        <f t="shared" si="43"/>
        <v>0</v>
      </c>
      <c r="AF78" s="11">
        <f t="shared" si="43"/>
        <v>0</v>
      </c>
      <c r="AG78" s="11">
        <f t="shared" si="43"/>
        <v>0</v>
      </c>
      <c r="AH78" s="11">
        <f t="shared" si="43"/>
        <v>0</v>
      </c>
      <c r="AI78" s="11">
        <f t="shared" si="43"/>
        <v>0</v>
      </c>
      <c r="AJ78" s="11">
        <f t="shared" si="43"/>
        <v>0</v>
      </c>
      <c r="AK78" s="11">
        <f t="shared" si="43"/>
        <v>0</v>
      </c>
      <c r="AL78" s="11">
        <f t="shared" si="43"/>
        <v>0</v>
      </c>
      <c r="AM78" s="11">
        <f t="shared" si="43"/>
        <v>0</v>
      </c>
      <c r="AN78" s="11">
        <f t="shared" si="43"/>
        <v>0</v>
      </c>
      <c r="AO78" s="11">
        <f t="shared" si="43"/>
        <v>0</v>
      </c>
      <c r="AP78" s="11">
        <f t="shared" si="43"/>
        <v>0</v>
      </c>
      <c r="AQ78" s="11">
        <f t="shared" si="43"/>
        <v>0</v>
      </c>
      <c r="AR78" s="11">
        <f t="shared" si="43"/>
        <v>0</v>
      </c>
      <c r="AS78" s="11">
        <f t="shared" si="43"/>
        <v>0</v>
      </c>
      <c r="AT78" s="11">
        <f t="shared" si="43"/>
        <v>0</v>
      </c>
      <c r="AU78" s="11">
        <f t="shared" si="43"/>
        <v>0</v>
      </c>
      <c r="AV78" s="11">
        <f t="shared" si="43"/>
        <v>0</v>
      </c>
    </row>
    <row r="82" spans="16:48" x14ac:dyDescent="0.25">
      <c r="P82" s="12">
        <f t="shared" ref="P82:AU82" si="44">--+IF(OR(AND(Q82=0,Q83=0,Q84=0),AND(Q82=1,Q83=0,Q84=0),AND(Q82=0,Q83=1,Q84=0),AND(Q82=0,Q83=0,Q84=1)),0,1)</f>
        <v>0</v>
      </c>
      <c r="Q82" s="12">
        <f t="shared" si="44"/>
        <v>0</v>
      </c>
      <c r="R82" s="12">
        <f t="shared" si="44"/>
        <v>0</v>
      </c>
      <c r="S82" s="12">
        <f t="shared" si="44"/>
        <v>0</v>
      </c>
      <c r="T82" s="12">
        <f t="shared" si="44"/>
        <v>0</v>
      </c>
      <c r="U82" s="12">
        <f t="shared" si="44"/>
        <v>0</v>
      </c>
      <c r="V82" s="12">
        <f t="shared" si="44"/>
        <v>0</v>
      </c>
      <c r="W82" s="12">
        <f t="shared" si="44"/>
        <v>0</v>
      </c>
      <c r="X82" s="12">
        <f t="shared" si="44"/>
        <v>0</v>
      </c>
      <c r="Y82" s="12">
        <f t="shared" si="44"/>
        <v>0</v>
      </c>
      <c r="Z82" s="12">
        <f t="shared" si="44"/>
        <v>0</v>
      </c>
      <c r="AA82" s="12">
        <f t="shared" si="44"/>
        <v>0</v>
      </c>
      <c r="AB82" s="12">
        <f t="shared" si="44"/>
        <v>0</v>
      </c>
      <c r="AC82" s="12">
        <f t="shared" si="44"/>
        <v>0</v>
      </c>
      <c r="AD82" s="12">
        <f t="shared" si="44"/>
        <v>0</v>
      </c>
      <c r="AE82" s="12">
        <f t="shared" si="44"/>
        <v>0</v>
      </c>
      <c r="AF82" s="12">
        <f t="shared" si="44"/>
        <v>0</v>
      </c>
      <c r="AG82" s="12">
        <f t="shared" si="44"/>
        <v>0</v>
      </c>
      <c r="AH82" s="12">
        <f t="shared" si="44"/>
        <v>0</v>
      </c>
      <c r="AI82" s="12">
        <f t="shared" si="44"/>
        <v>0</v>
      </c>
      <c r="AJ82" s="12">
        <f t="shared" si="44"/>
        <v>0</v>
      </c>
      <c r="AK82" s="12">
        <f t="shared" si="44"/>
        <v>0</v>
      </c>
      <c r="AL82" s="12">
        <f t="shared" si="44"/>
        <v>0</v>
      </c>
      <c r="AM82" s="12">
        <f t="shared" si="44"/>
        <v>0</v>
      </c>
      <c r="AN82" s="12">
        <f t="shared" si="44"/>
        <v>0</v>
      </c>
      <c r="AO82" s="12">
        <f t="shared" si="44"/>
        <v>0</v>
      </c>
      <c r="AP82" s="12">
        <f t="shared" si="44"/>
        <v>0</v>
      </c>
      <c r="AQ82" s="12">
        <f t="shared" si="44"/>
        <v>0</v>
      </c>
      <c r="AR82" s="12">
        <f t="shared" si="44"/>
        <v>0</v>
      </c>
      <c r="AS82" s="12">
        <f t="shared" si="44"/>
        <v>0</v>
      </c>
      <c r="AT82" s="12">
        <f t="shared" si="44"/>
        <v>0</v>
      </c>
      <c r="AU82" s="12">
        <f t="shared" si="44"/>
        <v>0</v>
      </c>
    </row>
    <row r="83" spans="16:48" x14ac:dyDescent="0.25">
      <c r="Q83" s="8">
        <f t="shared" ref="Q83:AU83" si="45">Q78</f>
        <v>0</v>
      </c>
      <c r="R83" s="8">
        <f t="shared" si="45"/>
        <v>0</v>
      </c>
      <c r="S83" s="8">
        <f t="shared" si="45"/>
        <v>0</v>
      </c>
      <c r="T83" s="8">
        <f t="shared" si="45"/>
        <v>0</v>
      </c>
      <c r="U83" s="8">
        <f t="shared" si="45"/>
        <v>0</v>
      </c>
      <c r="V83" s="8">
        <f t="shared" si="45"/>
        <v>0</v>
      </c>
      <c r="W83" s="8">
        <f t="shared" si="45"/>
        <v>0</v>
      </c>
      <c r="X83" s="8">
        <f t="shared" si="45"/>
        <v>0</v>
      </c>
      <c r="Y83" s="8">
        <f t="shared" si="45"/>
        <v>0</v>
      </c>
      <c r="Z83" s="8">
        <f t="shared" si="45"/>
        <v>0</v>
      </c>
      <c r="AA83" s="8">
        <f t="shared" si="45"/>
        <v>0</v>
      </c>
      <c r="AB83" s="8">
        <f t="shared" si="45"/>
        <v>0</v>
      </c>
      <c r="AC83" s="8">
        <f t="shared" si="45"/>
        <v>0</v>
      </c>
      <c r="AD83" s="8">
        <f t="shared" si="45"/>
        <v>0</v>
      </c>
      <c r="AE83" s="8">
        <f t="shared" si="45"/>
        <v>0</v>
      </c>
      <c r="AF83" s="8">
        <f t="shared" si="45"/>
        <v>0</v>
      </c>
      <c r="AG83" s="8">
        <f t="shared" si="45"/>
        <v>0</v>
      </c>
      <c r="AH83" s="8">
        <f t="shared" si="45"/>
        <v>0</v>
      </c>
      <c r="AI83" s="8">
        <f t="shared" si="45"/>
        <v>0</v>
      </c>
      <c r="AJ83" s="8">
        <f t="shared" si="45"/>
        <v>0</v>
      </c>
      <c r="AK83" s="8">
        <f t="shared" si="45"/>
        <v>0</v>
      </c>
      <c r="AL83" s="8">
        <f t="shared" si="45"/>
        <v>0</v>
      </c>
      <c r="AM83" s="8">
        <f t="shared" si="45"/>
        <v>0</v>
      </c>
      <c r="AN83" s="8">
        <f t="shared" si="45"/>
        <v>0</v>
      </c>
      <c r="AO83" s="8">
        <f t="shared" si="45"/>
        <v>0</v>
      </c>
      <c r="AP83" s="8">
        <f t="shared" si="45"/>
        <v>0</v>
      </c>
      <c r="AQ83" s="8">
        <f t="shared" si="45"/>
        <v>0</v>
      </c>
      <c r="AR83" s="8">
        <f t="shared" si="45"/>
        <v>0</v>
      </c>
      <c r="AS83" s="8">
        <f t="shared" si="45"/>
        <v>0</v>
      </c>
      <c r="AT83" s="8">
        <f t="shared" si="45"/>
        <v>0</v>
      </c>
      <c r="AU83" s="8">
        <f t="shared" si="45"/>
        <v>0</v>
      </c>
      <c r="AV83" s="8">
        <f>AV78</f>
        <v>0</v>
      </c>
    </row>
    <row r="84" spans="16:48" x14ac:dyDescent="0.25">
      <c r="Q84">
        <f t="shared" ref="Q84:AI84" si="46">$AJ$3*AC2</f>
        <v>0</v>
      </c>
      <c r="R84">
        <f t="shared" si="46"/>
        <v>0</v>
      </c>
      <c r="S84">
        <f t="shared" si="46"/>
        <v>0</v>
      </c>
      <c r="T84">
        <f t="shared" si="46"/>
        <v>0</v>
      </c>
      <c r="U84">
        <f t="shared" si="46"/>
        <v>0</v>
      </c>
      <c r="V84">
        <f t="shared" si="46"/>
        <v>0</v>
      </c>
      <c r="W84">
        <f t="shared" si="46"/>
        <v>0</v>
      </c>
      <c r="X84">
        <f t="shared" si="46"/>
        <v>0</v>
      </c>
      <c r="Y84">
        <f t="shared" si="46"/>
        <v>0</v>
      </c>
      <c r="Z84">
        <f t="shared" si="46"/>
        <v>0</v>
      </c>
      <c r="AA84">
        <f t="shared" si="46"/>
        <v>0</v>
      </c>
      <c r="AB84">
        <f t="shared" si="46"/>
        <v>0</v>
      </c>
      <c r="AC84">
        <f t="shared" si="46"/>
        <v>0</v>
      </c>
      <c r="AD84">
        <f t="shared" si="46"/>
        <v>0</v>
      </c>
      <c r="AE84">
        <f t="shared" si="46"/>
        <v>0</v>
      </c>
      <c r="AF84">
        <f t="shared" si="46"/>
        <v>0</v>
      </c>
      <c r="AG84">
        <f t="shared" si="46"/>
        <v>0</v>
      </c>
      <c r="AH84">
        <f t="shared" si="46"/>
        <v>0</v>
      </c>
      <c r="AI84">
        <f t="shared" si="46"/>
        <v>0</v>
      </c>
      <c r="AJ84">
        <f>$AJ$3*AV2</f>
        <v>0</v>
      </c>
      <c r="AK84" s="21">
        <v>0</v>
      </c>
      <c r="AL84" s="21">
        <v>0</v>
      </c>
      <c r="AM84" s="21">
        <v>0</v>
      </c>
      <c r="AN84" s="21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1">
        <v>0</v>
      </c>
      <c r="AV84" s="21">
        <v>0</v>
      </c>
    </row>
    <row r="85" spans="16:48" x14ac:dyDescent="0.25">
      <c r="Q85" s="11">
        <f t="shared" ref="Q85:AV85" si="47">IF(OR(AND(Q82=0,Q83=0,Q84=0),AND(Q82=1,Q83=1,Q84=0),AND(Q82=0,Q83=1,Q84=1),AND(Q82=1,Q83=0,Q84=1)),0,1)</f>
        <v>0</v>
      </c>
      <c r="R85" s="11">
        <f t="shared" si="47"/>
        <v>0</v>
      </c>
      <c r="S85" s="11">
        <f t="shared" si="47"/>
        <v>0</v>
      </c>
      <c r="T85" s="11">
        <f t="shared" si="47"/>
        <v>0</v>
      </c>
      <c r="U85" s="11">
        <f t="shared" si="47"/>
        <v>0</v>
      </c>
      <c r="V85" s="11">
        <f t="shared" si="47"/>
        <v>0</v>
      </c>
      <c r="W85" s="11">
        <f t="shared" si="47"/>
        <v>0</v>
      </c>
      <c r="X85" s="11">
        <f t="shared" si="47"/>
        <v>0</v>
      </c>
      <c r="Y85" s="11">
        <f t="shared" si="47"/>
        <v>0</v>
      </c>
      <c r="Z85" s="11">
        <f t="shared" si="47"/>
        <v>0</v>
      </c>
      <c r="AA85" s="11">
        <f t="shared" si="47"/>
        <v>0</v>
      </c>
      <c r="AB85" s="11">
        <f t="shared" si="47"/>
        <v>0</v>
      </c>
      <c r="AC85" s="11">
        <f t="shared" si="47"/>
        <v>0</v>
      </c>
      <c r="AD85" s="11">
        <f t="shared" si="47"/>
        <v>0</v>
      </c>
      <c r="AE85" s="11">
        <f t="shared" si="47"/>
        <v>0</v>
      </c>
      <c r="AF85" s="11">
        <f t="shared" si="47"/>
        <v>0</v>
      </c>
      <c r="AG85" s="11">
        <f t="shared" si="47"/>
        <v>0</v>
      </c>
      <c r="AH85" s="11">
        <f t="shared" si="47"/>
        <v>0</v>
      </c>
      <c r="AI85" s="11">
        <f t="shared" si="47"/>
        <v>0</v>
      </c>
      <c r="AJ85" s="11">
        <f t="shared" si="47"/>
        <v>0</v>
      </c>
      <c r="AK85" s="11">
        <f t="shared" si="47"/>
        <v>0</v>
      </c>
      <c r="AL85" s="11">
        <f t="shared" si="47"/>
        <v>0</v>
      </c>
      <c r="AM85" s="11">
        <f t="shared" si="47"/>
        <v>0</v>
      </c>
      <c r="AN85" s="11">
        <f t="shared" si="47"/>
        <v>0</v>
      </c>
      <c r="AO85" s="11">
        <f t="shared" si="47"/>
        <v>0</v>
      </c>
      <c r="AP85" s="11">
        <f t="shared" si="47"/>
        <v>0</v>
      </c>
      <c r="AQ85" s="11">
        <f t="shared" si="47"/>
        <v>0</v>
      </c>
      <c r="AR85" s="11">
        <f t="shared" si="47"/>
        <v>0</v>
      </c>
      <c r="AS85" s="11">
        <f t="shared" si="47"/>
        <v>0</v>
      </c>
      <c r="AT85" s="11">
        <f t="shared" si="47"/>
        <v>0</v>
      </c>
      <c r="AU85" s="11">
        <f t="shared" si="47"/>
        <v>0</v>
      </c>
      <c r="AV85" s="11">
        <f t="shared" si="47"/>
        <v>0</v>
      </c>
    </row>
    <row r="89" spans="16:48" x14ac:dyDescent="0.25">
      <c r="P89" s="12">
        <f t="shared" ref="P89:AU89" si="48">--+IF(OR(AND(Q89=0,Q90=0,Q91=0),AND(Q89=1,Q90=0,Q91=0),AND(Q89=0,Q90=1,Q91=0),AND(Q89=0,Q90=0,Q91=1)),0,1)</f>
        <v>0</v>
      </c>
      <c r="Q89" s="12">
        <f t="shared" si="48"/>
        <v>0</v>
      </c>
      <c r="R89" s="12">
        <f t="shared" si="48"/>
        <v>0</v>
      </c>
      <c r="S89" s="12">
        <f t="shared" si="48"/>
        <v>0</v>
      </c>
      <c r="T89" s="12">
        <f t="shared" si="48"/>
        <v>0</v>
      </c>
      <c r="U89" s="12">
        <f t="shared" si="48"/>
        <v>0</v>
      </c>
      <c r="V89" s="12">
        <f t="shared" si="48"/>
        <v>0</v>
      </c>
      <c r="W89" s="12">
        <f t="shared" si="48"/>
        <v>0</v>
      </c>
      <c r="X89" s="12">
        <f t="shared" si="48"/>
        <v>0</v>
      </c>
      <c r="Y89" s="12">
        <f t="shared" si="48"/>
        <v>0</v>
      </c>
      <c r="Z89" s="12">
        <f t="shared" si="48"/>
        <v>0</v>
      </c>
      <c r="AA89" s="12">
        <f t="shared" si="48"/>
        <v>0</v>
      </c>
      <c r="AB89" s="12">
        <f t="shared" si="48"/>
        <v>0</v>
      </c>
      <c r="AC89" s="12">
        <f t="shared" si="48"/>
        <v>0</v>
      </c>
      <c r="AD89" s="12">
        <f t="shared" si="48"/>
        <v>0</v>
      </c>
      <c r="AE89" s="12">
        <f t="shared" si="48"/>
        <v>0</v>
      </c>
      <c r="AF89" s="12">
        <f t="shared" si="48"/>
        <v>0</v>
      </c>
      <c r="AG89" s="12">
        <f t="shared" si="48"/>
        <v>0</v>
      </c>
      <c r="AH89" s="12">
        <f t="shared" si="48"/>
        <v>0</v>
      </c>
      <c r="AI89" s="12">
        <f t="shared" si="48"/>
        <v>0</v>
      </c>
      <c r="AJ89" s="12">
        <f t="shared" si="48"/>
        <v>0</v>
      </c>
      <c r="AK89" s="12">
        <f t="shared" si="48"/>
        <v>0</v>
      </c>
      <c r="AL89" s="12">
        <f t="shared" si="48"/>
        <v>0</v>
      </c>
      <c r="AM89" s="12">
        <f t="shared" si="48"/>
        <v>0</v>
      </c>
      <c r="AN89" s="12">
        <f t="shared" si="48"/>
        <v>0</v>
      </c>
      <c r="AO89" s="12">
        <f t="shared" si="48"/>
        <v>0</v>
      </c>
      <c r="AP89" s="12">
        <f t="shared" si="48"/>
        <v>0</v>
      </c>
      <c r="AQ89" s="12">
        <f t="shared" si="48"/>
        <v>0</v>
      </c>
      <c r="AR89" s="12">
        <f t="shared" si="48"/>
        <v>0</v>
      </c>
      <c r="AS89" s="12">
        <f t="shared" si="48"/>
        <v>0</v>
      </c>
      <c r="AT89" s="12">
        <f t="shared" si="48"/>
        <v>0</v>
      </c>
      <c r="AU89" s="12">
        <f t="shared" si="48"/>
        <v>0</v>
      </c>
    </row>
    <row r="90" spans="16:48" x14ac:dyDescent="0.25">
      <c r="Q90" s="8">
        <f t="shared" ref="Q90:AU90" si="49">Q85</f>
        <v>0</v>
      </c>
      <c r="R90" s="8">
        <f t="shared" si="49"/>
        <v>0</v>
      </c>
      <c r="S90" s="8">
        <f t="shared" si="49"/>
        <v>0</v>
      </c>
      <c r="T90" s="8">
        <f t="shared" si="49"/>
        <v>0</v>
      </c>
      <c r="U90" s="8">
        <f t="shared" si="49"/>
        <v>0</v>
      </c>
      <c r="V90" s="8">
        <f t="shared" si="49"/>
        <v>0</v>
      </c>
      <c r="W90" s="8">
        <f t="shared" si="49"/>
        <v>0</v>
      </c>
      <c r="X90" s="8">
        <f t="shared" si="49"/>
        <v>0</v>
      </c>
      <c r="Y90" s="8">
        <f t="shared" si="49"/>
        <v>0</v>
      </c>
      <c r="Z90" s="8">
        <f t="shared" si="49"/>
        <v>0</v>
      </c>
      <c r="AA90" s="8">
        <f t="shared" si="49"/>
        <v>0</v>
      </c>
      <c r="AB90" s="8">
        <f t="shared" si="49"/>
        <v>0</v>
      </c>
      <c r="AC90" s="8">
        <f t="shared" si="49"/>
        <v>0</v>
      </c>
      <c r="AD90" s="8">
        <f t="shared" si="49"/>
        <v>0</v>
      </c>
      <c r="AE90" s="8">
        <f t="shared" si="49"/>
        <v>0</v>
      </c>
      <c r="AF90" s="8">
        <f t="shared" si="49"/>
        <v>0</v>
      </c>
      <c r="AG90" s="8">
        <f t="shared" si="49"/>
        <v>0</v>
      </c>
      <c r="AH90" s="8">
        <f t="shared" si="49"/>
        <v>0</v>
      </c>
      <c r="AI90" s="8">
        <f t="shared" si="49"/>
        <v>0</v>
      </c>
      <c r="AJ90" s="8">
        <f t="shared" si="49"/>
        <v>0</v>
      </c>
      <c r="AK90" s="8">
        <f t="shared" si="49"/>
        <v>0</v>
      </c>
      <c r="AL90" s="8">
        <f t="shared" si="49"/>
        <v>0</v>
      </c>
      <c r="AM90" s="8">
        <f t="shared" si="49"/>
        <v>0</v>
      </c>
      <c r="AN90" s="8">
        <f t="shared" si="49"/>
        <v>0</v>
      </c>
      <c r="AO90" s="8">
        <f t="shared" si="49"/>
        <v>0</v>
      </c>
      <c r="AP90" s="8">
        <f t="shared" si="49"/>
        <v>0</v>
      </c>
      <c r="AQ90" s="8">
        <f t="shared" si="49"/>
        <v>0</v>
      </c>
      <c r="AR90" s="8">
        <f t="shared" si="49"/>
        <v>0</v>
      </c>
      <c r="AS90" s="8">
        <f t="shared" si="49"/>
        <v>0</v>
      </c>
      <c r="AT90" s="8">
        <f t="shared" si="49"/>
        <v>0</v>
      </c>
      <c r="AU90" s="8">
        <f t="shared" si="49"/>
        <v>0</v>
      </c>
      <c r="AV90" s="8">
        <f>AV85</f>
        <v>0</v>
      </c>
    </row>
    <row r="91" spans="16:48" x14ac:dyDescent="0.25">
      <c r="Q91">
        <f t="shared" ref="Q91:AH91" si="50">$AI$3*AD2</f>
        <v>0</v>
      </c>
      <c r="R91">
        <f t="shared" si="50"/>
        <v>0</v>
      </c>
      <c r="S91">
        <f t="shared" si="50"/>
        <v>0</v>
      </c>
      <c r="T91">
        <f t="shared" si="50"/>
        <v>0</v>
      </c>
      <c r="U91">
        <f t="shared" si="50"/>
        <v>0</v>
      </c>
      <c r="V91">
        <f t="shared" si="50"/>
        <v>0</v>
      </c>
      <c r="W91">
        <f t="shared" si="50"/>
        <v>0</v>
      </c>
      <c r="X91">
        <f t="shared" si="50"/>
        <v>0</v>
      </c>
      <c r="Y91">
        <f t="shared" si="50"/>
        <v>0</v>
      </c>
      <c r="Z91">
        <f t="shared" si="50"/>
        <v>0</v>
      </c>
      <c r="AA91">
        <f t="shared" si="50"/>
        <v>0</v>
      </c>
      <c r="AB91">
        <f t="shared" si="50"/>
        <v>0</v>
      </c>
      <c r="AC91">
        <f t="shared" si="50"/>
        <v>0</v>
      </c>
      <c r="AD91">
        <f t="shared" si="50"/>
        <v>0</v>
      </c>
      <c r="AE91">
        <f t="shared" si="50"/>
        <v>0</v>
      </c>
      <c r="AF91">
        <f t="shared" si="50"/>
        <v>0</v>
      </c>
      <c r="AG91">
        <f t="shared" si="50"/>
        <v>0</v>
      </c>
      <c r="AH91">
        <f t="shared" si="50"/>
        <v>0</v>
      </c>
      <c r="AI91">
        <f>$AI$3*AV2</f>
        <v>0</v>
      </c>
      <c r="AJ91" s="21">
        <v>0</v>
      </c>
      <c r="AK91" s="21">
        <v>0</v>
      </c>
      <c r="AL91" s="21">
        <v>0</v>
      </c>
      <c r="AM91" s="21">
        <v>0</v>
      </c>
      <c r="AN91" s="21">
        <v>0</v>
      </c>
      <c r="AO91" s="21">
        <v>0</v>
      </c>
      <c r="AP91" s="21">
        <v>0</v>
      </c>
      <c r="AQ91" s="21">
        <v>0</v>
      </c>
      <c r="AR91" s="21">
        <v>0</v>
      </c>
      <c r="AS91" s="21">
        <v>0</v>
      </c>
      <c r="AT91" s="21">
        <v>0</v>
      </c>
      <c r="AU91" s="21">
        <v>0</v>
      </c>
      <c r="AV91" s="21">
        <v>0</v>
      </c>
    </row>
    <row r="92" spans="16:48" x14ac:dyDescent="0.25">
      <c r="Q92" s="11">
        <f t="shared" ref="Q92:AV92" si="51">IF(OR(AND(Q89=0,Q90=0,Q91=0),AND(Q89=1,Q90=1,Q91=0),AND(Q89=0,Q90=1,Q91=1),AND(Q89=1,Q90=0,Q91=1)),0,1)</f>
        <v>0</v>
      </c>
      <c r="R92" s="11">
        <f t="shared" si="51"/>
        <v>0</v>
      </c>
      <c r="S92" s="11">
        <f t="shared" si="51"/>
        <v>0</v>
      </c>
      <c r="T92" s="11">
        <f t="shared" si="51"/>
        <v>0</v>
      </c>
      <c r="U92" s="11">
        <f t="shared" si="51"/>
        <v>0</v>
      </c>
      <c r="V92" s="11">
        <f t="shared" si="51"/>
        <v>0</v>
      </c>
      <c r="W92" s="11">
        <f t="shared" si="51"/>
        <v>0</v>
      </c>
      <c r="X92" s="11">
        <f t="shared" si="51"/>
        <v>0</v>
      </c>
      <c r="Y92" s="11">
        <f t="shared" si="51"/>
        <v>0</v>
      </c>
      <c r="Z92" s="11">
        <f t="shared" si="51"/>
        <v>0</v>
      </c>
      <c r="AA92" s="11">
        <f t="shared" si="51"/>
        <v>0</v>
      </c>
      <c r="AB92" s="11">
        <f t="shared" si="51"/>
        <v>0</v>
      </c>
      <c r="AC92" s="11">
        <f t="shared" si="51"/>
        <v>0</v>
      </c>
      <c r="AD92" s="11">
        <f t="shared" si="51"/>
        <v>0</v>
      </c>
      <c r="AE92" s="11">
        <f t="shared" si="51"/>
        <v>0</v>
      </c>
      <c r="AF92" s="11">
        <f t="shared" si="51"/>
        <v>0</v>
      </c>
      <c r="AG92" s="11">
        <f t="shared" si="51"/>
        <v>0</v>
      </c>
      <c r="AH92" s="11">
        <f t="shared" si="51"/>
        <v>0</v>
      </c>
      <c r="AI92" s="11">
        <f t="shared" si="51"/>
        <v>0</v>
      </c>
      <c r="AJ92" s="11">
        <f t="shared" si="51"/>
        <v>0</v>
      </c>
      <c r="AK92" s="11">
        <f t="shared" si="51"/>
        <v>0</v>
      </c>
      <c r="AL92" s="11">
        <f t="shared" si="51"/>
        <v>0</v>
      </c>
      <c r="AM92" s="11">
        <f t="shared" si="51"/>
        <v>0</v>
      </c>
      <c r="AN92" s="11">
        <f t="shared" si="51"/>
        <v>0</v>
      </c>
      <c r="AO92" s="11">
        <f t="shared" si="51"/>
        <v>0</v>
      </c>
      <c r="AP92" s="11">
        <f t="shared" si="51"/>
        <v>0</v>
      </c>
      <c r="AQ92" s="11">
        <f t="shared" si="51"/>
        <v>0</v>
      </c>
      <c r="AR92" s="11">
        <f t="shared" si="51"/>
        <v>0</v>
      </c>
      <c r="AS92" s="11">
        <f t="shared" si="51"/>
        <v>0</v>
      </c>
      <c r="AT92" s="11">
        <f t="shared" si="51"/>
        <v>0</v>
      </c>
      <c r="AU92" s="11">
        <f t="shared" si="51"/>
        <v>0</v>
      </c>
      <c r="AV92" s="11">
        <f t="shared" si="51"/>
        <v>0</v>
      </c>
    </row>
    <row r="96" spans="16:48" x14ac:dyDescent="0.25">
      <c r="P96" s="12">
        <f t="shared" ref="P96:AU96" si="52">--+IF(OR(AND(Q96=0,Q97=0,Q98=0),AND(Q96=1,Q97=0,Q98=0),AND(Q96=0,Q97=1,Q98=0),AND(Q96=0,Q97=0,Q98=1)),0,1)</f>
        <v>0</v>
      </c>
      <c r="Q96" s="12">
        <f t="shared" si="52"/>
        <v>0</v>
      </c>
      <c r="R96" s="12">
        <f t="shared" si="52"/>
        <v>0</v>
      </c>
      <c r="S96" s="12">
        <f t="shared" si="52"/>
        <v>0</v>
      </c>
      <c r="T96" s="12">
        <f t="shared" si="52"/>
        <v>0</v>
      </c>
      <c r="U96" s="12">
        <f t="shared" si="52"/>
        <v>0</v>
      </c>
      <c r="V96" s="12">
        <f t="shared" si="52"/>
        <v>0</v>
      </c>
      <c r="W96" s="12">
        <f t="shared" si="52"/>
        <v>0</v>
      </c>
      <c r="X96" s="12">
        <f t="shared" si="52"/>
        <v>0</v>
      </c>
      <c r="Y96" s="12">
        <f t="shared" si="52"/>
        <v>0</v>
      </c>
      <c r="Z96" s="12">
        <f t="shared" si="52"/>
        <v>0</v>
      </c>
      <c r="AA96" s="12">
        <f t="shared" si="52"/>
        <v>0</v>
      </c>
      <c r="AB96" s="12">
        <f t="shared" si="52"/>
        <v>0</v>
      </c>
      <c r="AC96" s="12">
        <f t="shared" si="52"/>
        <v>0</v>
      </c>
      <c r="AD96" s="12">
        <f t="shared" si="52"/>
        <v>0</v>
      </c>
      <c r="AE96" s="12">
        <f t="shared" si="52"/>
        <v>0</v>
      </c>
      <c r="AF96" s="12">
        <f t="shared" si="52"/>
        <v>0</v>
      </c>
      <c r="AG96" s="12">
        <f t="shared" si="52"/>
        <v>0</v>
      </c>
      <c r="AH96" s="12">
        <f t="shared" si="52"/>
        <v>0</v>
      </c>
      <c r="AI96" s="12">
        <f t="shared" si="52"/>
        <v>0</v>
      </c>
      <c r="AJ96" s="12">
        <f t="shared" si="52"/>
        <v>0</v>
      </c>
      <c r="AK96" s="12">
        <f t="shared" si="52"/>
        <v>0</v>
      </c>
      <c r="AL96" s="12">
        <f t="shared" si="52"/>
        <v>0</v>
      </c>
      <c r="AM96" s="12">
        <f t="shared" si="52"/>
        <v>0</v>
      </c>
      <c r="AN96" s="12">
        <f t="shared" si="52"/>
        <v>0</v>
      </c>
      <c r="AO96" s="12">
        <f t="shared" si="52"/>
        <v>0</v>
      </c>
      <c r="AP96" s="12">
        <f t="shared" si="52"/>
        <v>0</v>
      </c>
      <c r="AQ96" s="12">
        <f t="shared" si="52"/>
        <v>0</v>
      </c>
      <c r="AR96" s="12">
        <f t="shared" si="52"/>
        <v>0</v>
      </c>
      <c r="AS96" s="12">
        <f t="shared" si="52"/>
        <v>0</v>
      </c>
      <c r="AT96" s="12">
        <f t="shared" si="52"/>
        <v>0</v>
      </c>
      <c r="AU96" s="12">
        <f t="shared" si="52"/>
        <v>0</v>
      </c>
    </row>
    <row r="97" spans="16:48" x14ac:dyDescent="0.25">
      <c r="Q97" s="8">
        <f t="shared" ref="Q97:AU97" si="53">Q92</f>
        <v>0</v>
      </c>
      <c r="R97" s="8">
        <f t="shared" si="53"/>
        <v>0</v>
      </c>
      <c r="S97" s="8">
        <f t="shared" si="53"/>
        <v>0</v>
      </c>
      <c r="T97" s="8">
        <f t="shared" si="53"/>
        <v>0</v>
      </c>
      <c r="U97" s="8">
        <f t="shared" si="53"/>
        <v>0</v>
      </c>
      <c r="V97" s="8">
        <f t="shared" si="53"/>
        <v>0</v>
      </c>
      <c r="W97" s="8">
        <f t="shared" si="53"/>
        <v>0</v>
      </c>
      <c r="X97" s="8">
        <f t="shared" si="53"/>
        <v>0</v>
      </c>
      <c r="Y97" s="8">
        <f t="shared" si="53"/>
        <v>0</v>
      </c>
      <c r="Z97" s="8">
        <f t="shared" si="53"/>
        <v>0</v>
      </c>
      <c r="AA97" s="8">
        <f t="shared" si="53"/>
        <v>0</v>
      </c>
      <c r="AB97" s="8">
        <f t="shared" si="53"/>
        <v>0</v>
      </c>
      <c r="AC97" s="8">
        <f t="shared" si="53"/>
        <v>0</v>
      </c>
      <c r="AD97" s="8">
        <f t="shared" si="53"/>
        <v>0</v>
      </c>
      <c r="AE97" s="8">
        <f t="shared" si="53"/>
        <v>0</v>
      </c>
      <c r="AF97" s="8">
        <f t="shared" si="53"/>
        <v>0</v>
      </c>
      <c r="AG97" s="8">
        <f t="shared" si="53"/>
        <v>0</v>
      </c>
      <c r="AH97" s="8">
        <f t="shared" si="53"/>
        <v>0</v>
      </c>
      <c r="AI97" s="8">
        <f t="shared" si="53"/>
        <v>0</v>
      </c>
      <c r="AJ97" s="8">
        <f t="shared" si="53"/>
        <v>0</v>
      </c>
      <c r="AK97" s="8">
        <f t="shared" si="53"/>
        <v>0</v>
      </c>
      <c r="AL97" s="8">
        <f t="shared" si="53"/>
        <v>0</v>
      </c>
      <c r="AM97" s="8">
        <f t="shared" si="53"/>
        <v>0</v>
      </c>
      <c r="AN97" s="8">
        <f t="shared" si="53"/>
        <v>0</v>
      </c>
      <c r="AO97" s="8">
        <f t="shared" si="53"/>
        <v>0</v>
      </c>
      <c r="AP97" s="8">
        <f t="shared" si="53"/>
        <v>0</v>
      </c>
      <c r="AQ97" s="8">
        <f t="shared" si="53"/>
        <v>0</v>
      </c>
      <c r="AR97" s="8">
        <f t="shared" si="53"/>
        <v>0</v>
      </c>
      <c r="AS97" s="8">
        <f t="shared" si="53"/>
        <v>0</v>
      </c>
      <c r="AT97" s="8">
        <f t="shared" si="53"/>
        <v>0</v>
      </c>
      <c r="AU97" s="8">
        <f t="shared" si="53"/>
        <v>0</v>
      </c>
      <c r="AV97" s="8">
        <f>AV92</f>
        <v>0</v>
      </c>
    </row>
    <row r="98" spans="16:48" x14ac:dyDescent="0.25">
      <c r="Q98">
        <f t="shared" ref="Q98:AG98" si="54">$AH$3*AE2</f>
        <v>0</v>
      </c>
      <c r="R98">
        <f t="shared" si="54"/>
        <v>0</v>
      </c>
      <c r="S98">
        <f t="shared" si="54"/>
        <v>0</v>
      </c>
      <c r="T98">
        <f t="shared" si="54"/>
        <v>0</v>
      </c>
      <c r="U98">
        <f t="shared" si="54"/>
        <v>0</v>
      </c>
      <c r="V98">
        <f t="shared" si="54"/>
        <v>0</v>
      </c>
      <c r="W98">
        <f t="shared" si="54"/>
        <v>0</v>
      </c>
      <c r="X98">
        <f t="shared" si="54"/>
        <v>0</v>
      </c>
      <c r="Y98">
        <f t="shared" si="54"/>
        <v>0</v>
      </c>
      <c r="Z98">
        <f t="shared" si="54"/>
        <v>0</v>
      </c>
      <c r="AA98">
        <f t="shared" si="54"/>
        <v>0</v>
      </c>
      <c r="AB98">
        <f t="shared" si="54"/>
        <v>0</v>
      </c>
      <c r="AC98">
        <f t="shared" si="54"/>
        <v>0</v>
      </c>
      <c r="AD98">
        <f t="shared" si="54"/>
        <v>0</v>
      </c>
      <c r="AE98">
        <f t="shared" si="54"/>
        <v>0</v>
      </c>
      <c r="AF98">
        <f t="shared" si="54"/>
        <v>0</v>
      </c>
      <c r="AG98">
        <f t="shared" si="54"/>
        <v>0</v>
      </c>
      <c r="AH98">
        <f>$AH$3*AV2</f>
        <v>0</v>
      </c>
      <c r="AI98" s="21">
        <v>0</v>
      </c>
      <c r="AJ98" s="21">
        <v>0</v>
      </c>
      <c r="AK98" s="21">
        <v>0</v>
      </c>
      <c r="AL98" s="21">
        <v>0</v>
      </c>
      <c r="AM98" s="21">
        <v>0</v>
      </c>
      <c r="AN98" s="21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1">
        <v>0</v>
      </c>
      <c r="AV98" s="21">
        <v>0</v>
      </c>
    </row>
    <row r="99" spans="16:48" x14ac:dyDescent="0.25">
      <c r="Q99" s="11">
        <f t="shared" ref="Q99:AV99" si="55">IF(OR(AND(Q96=0,Q97=0,Q98=0),AND(Q96=1,Q97=1,Q98=0),AND(Q96=0,Q97=1,Q98=1),AND(Q96=1,Q97=0,Q98=1)),0,1)</f>
        <v>0</v>
      </c>
      <c r="R99" s="11">
        <f t="shared" si="55"/>
        <v>0</v>
      </c>
      <c r="S99" s="11">
        <f t="shared" si="55"/>
        <v>0</v>
      </c>
      <c r="T99" s="11">
        <f t="shared" si="55"/>
        <v>0</v>
      </c>
      <c r="U99" s="11">
        <f t="shared" si="55"/>
        <v>0</v>
      </c>
      <c r="V99" s="11">
        <f t="shared" si="55"/>
        <v>0</v>
      </c>
      <c r="W99" s="11">
        <f t="shared" si="55"/>
        <v>0</v>
      </c>
      <c r="X99" s="11">
        <f t="shared" si="55"/>
        <v>0</v>
      </c>
      <c r="Y99" s="11">
        <f t="shared" si="55"/>
        <v>0</v>
      </c>
      <c r="Z99" s="11">
        <f t="shared" si="55"/>
        <v>0</v>
      </c>
      <c r="AA99" s="11">
        <f t="shared" si="55"/>
        <v>0</v>
      </c>
      <c r="AB99" s="11">
        <f t="shared" si="55"/>
        <v>0</v>
      </c>
      <c r="AC99" s="11">
        <f t="shared" si="55"/>
        <v>0</v>
      </c>
      <c r="AD99" s="11">
        <f t="shared" si="55"/>
        <v>0</v>
      </c>
      <c r="AE99" s="11">
        <f t="shared" si="55"/>
        <v>0</v>
      </c>
      <c r="AF99" s="11">
        <f t="shared" si="55"/>
        <v>0</v>
      </c>
      <c r="AG99" s="11">
        <f t="shared" si="55"/>
        <v>0</v>
      </c>
      <c r="AH99" s="11">
        <f t="shared" si="55"/>
        <v>0</v>
      </c>
      <c r="AI99" s="11">
        <f t="shared" si="55"/>
        <v>0</v>
      </c>
      <c r="AJ99" s="11">
        <f t="shared" si="55"/>
        <v>0</v>
      </c>
      <c r="AK99" s="11">
        <f t="shared" si="55"/>
        <v>0</v>
      </c>
      <c r="AL99" s="11">
        <f t="shared" si="55"/>
        <v>0</v>
      </c>
      <c r="AM99" s="11">
        <f t="shared" si="55"/>
        <v>0</v>
      </c>
      <c r="AN99" s="11">
        <f t="shared" si="55"/>
        <v>0</v>
      </c>
      <c r="AO99" s="11">
        <f t="shared" si="55"/>
        <v>0</v>
      </c>
      <c r="AP99" s="11">
        <f t="shared" si="55"/>
        <v>0</v>
      </c>
      <c r="AQ99" s="11">
        <f t="shared" si="55"/>
        <v>0</v>
      </c>
      <c r="AR99" s="11">
        <f t="shared" si="55"/>
        <v>0</v>
      </c>
      <c r="AS99" s="11">
        <f t="shared" si="55"/>
        <v>0</v>
      </c>
      <c r="AT99" s="11">
        <f t="shared" si="55"/>
        <v>0</v>
      </c>
      <c r="AU99" s="11">
        <f t="shared" si="55"/>
        <v>0</v>
      </c>
      <c r="AV99" s="11">
        <f t="shared" si="55"/>
        <v>0</v>
      </c>
    </row>
    <row r="103" spans="16:48" x14ac:dyDescent="0.25">
      <c r="P103" s="12">
        <f t="shared" ref="P103:AU103" si="56">--+IF(OR(AND(Q103=0,Q104=0,Q105=0),AND(Q103=1,Q104=0,Q105=0),AND(Q103=0,Q104=1,Q105=0),AND(Q103=0,Q104=0,Q105=1)),0,1)</f>
        <v>0</v>
      </c>
      <c r="Q103" s="12">
        <f t="shared" si="56"/>
        <v>0</v>
      </c>
      <c r="R103" s="12">
        <f t="shared" si="56"/>
        <v>0</v>
      </c>
      <c r="S103" s="12">
        <f t="shared" si="56"/>
        <v>0</v>
      </c>
      <c r="T103" s="12">
        <f t="shared" si="56"/>
        <v>0</v>
      </c>
      <c r="U103" s="12">
        <f t="shared" si="56"/>
        <v>0</v>
      </c>
      <c r="V103" s="12">
        <f t="shared" si="56"/>
        <v>0</v>
      </c>
      <c r="W103" s="12">
        <f t="shared" si="56"/>
        <v>0</v>
      </c>
      <c r="X103" s="12">
        <f t="shared" si="56"/>
        <v>0</v>
      </c>
      <c r="Y103" s="12">
        <f t="shared" si="56"/>
        <v>0</v>
      </c>
      <c r="Z103" s="12">
        <f t="shared" si="56"/>
        <v>0</v>
      </c>
      <c r="AA103" s="12">
        <f t="shared" si="56"/>
        <v>0</v>
      </c>
      <c r="AB103" s="12">
        <f t="shared" si="56"/>
        <v>0</v>
      </c>
      <c r="AC103" s="12">
        <f t="shared" si="56"/>
        <v>0</v>
      </c>
      <c r="AD103" s="12">
        <f t="shared" si="56"/>
        <v>0</v>
      </c>
      <c r="AE103" s="12">
        <f t="shared" si="56"/>
        <v>0</v>
      </c>
      <c r="AF103" s="12">
        <f t="shared" si="56"/>
        <v>0</v>
      </c>
      <c r="AG103" s="12">
        <f t="shared" si="56"/>
        <v>0</v>
      </c>
      <c r="AH103" s="12">
        <f t="shared" si="56"/>
        <v>0</v>
      </c>
      <c r="AI103" s="12">
        <f t="shared" si="56"/>
        <v>0</v>
      </c>
      <c r="AJ103" s="12">
        <f t="shared" si="56"/>
        <v>0</v>
      </c>
      <c r="AK103" s="12">
        <f t="shared" si="56"/>
        <v>0</v>
      </c>
      <c r="AL103" s="12">
        <f t="shared" si="56"/>
        <v>0</v>
      </c>
      <c r="AM103" s="12">
        <f t="shared" si="56"/>
        <v>0</v>
      </c>
      <c r="AN103" s="12">
        <f t="shared" si="56"/>
        <v>0</v>
      </c>
      <c r="AO103" s="12">
        <f t="shared" si="56"/>
        <v>0</v>
      </c>
      <c r="AP103" s="12">
        <f t="shared" si="56"/>
        <v>0</v>
      </c>
      <c r="AQ103" s="12">
        <f t="shared" si="56"/>
        <v>0</v>
      </c>
      <c r="AR103" s="12">
        <f t="shared" si="56"/>
        <v>0</v>
      </c>
      <c r="AS103" s="12">
        <f t="shared" si="56"/>
        <v>0</v>
      </c>
      <c r="AT103" s="12">
        <f t="shared" si="56"/>
        <v>0</v>
      </c>
      <c r="AU103" s="12">
        <f t="shared" si="56"/>
        <v>0</v>
      </c>
    </row>
    <row r="104" spans="16:48" x14ac:dyDescent="0.25">
      <c r="Q104" s="8">
        <f t="shared" ref="Q104:AU104" si="57">Q99</f>
        <v>0</v>
      </c>
      <c r="R104" s="8">
        <f t="shared" si="57"/>
        <v>0</v>
      </c>
      <c r="S104" s="8">
        <f t="shared" si="57"/>
        <v>0</v>
      </c>
      <c r="T104" s="8">
        <f t="shared" si="57"/>
        <v>0</v>
      </c>
      <c r="U104" s="8">
        <f t="shared" si="57"/>
        <v>0</v>
      </c>
      <c r="V104" s="8">
        <f t="shared" si="57"/>
        <v>0</v>
      </c>
      <c r="W104" s="8">
        <f t="shared" si="57"/>
        <v>0</v>
      </c>
      <c r="X104" s="8">
        <f t="shared" si="57"/>
        <v>0</v>
      </c>
      <c r="Y104" s="8">
        <f t="shared" si="57"/>
        <v>0</v>
      </c>
      <c r="Z104" s="8">
        <f t="shared" si="57"/>
        <v>0</v>
      </c>
      <c r="AA104" s="8">
        <f t="shared" si="57"/>
        <v>0</v>
      </c>
      <c r="AB104" s="8">
        <f t="shared" si="57"/>
        <v>0</v>
      </c>
      <c r="AC104" s="8">
        <f t="shared" si="57"/>
        <v>0</v>
      </c>
      <c r="AD104" s="8">
        <f t="shared" si="57"/>
        <v>0</v>
      </c>
      <c r="AE104" s="8">
        <f t="shared" si="57"/>
        <v>0</v>
      </c>
      <c r="AF104" s="8">
        <f t="shared" si="57"/>
        <v>0</v>
      </c>
      <c r="AG104" s="8">
        <f t="shared" si="57"/>
        <v>0</v>
      </c>
      <c r="AH104" s="8">
        <f t="shared" si="57"/>
        <v>0</v>
      </c>
      <c r="AI104" s="8">
        <f t="shared" si="57"/>
        <v>0</v>
      </c>
      <c r="AJ104" s="8">
        <f t="shared" si="57"/>
        <v>0</v>
      </c>
      <c r="AK104" s="8">
        <f t="shared" si="57"/>
        <v>0</v>
      </c>
      <c r="AL104" s="8">
        <f t="shared" si="57"/>
        <v>0</v>
      </c>
      <c r="AM104" s="8">
        <f t="shared" si="57"/>
        <v>0</v>
      </c>
      <c r="AN104" s="8">
        <f t="shared" si="57"/>
        <v>0</v>
      </c>
      <c r="AO104" s="8">
        <f t="shared" si="57"/>
        <v>0</v>
      </c>
      <c r="AP104" s="8">
        <f t="shared" si="57"/>
        <v>0</v>
      </c>
      <c r="AQ104" s="8">
        <f t="shared" si="57"/>
        <v>0</v>
      </c>
      <c r="AR104" s="8">
        <f t="shared" si="57"/>
        <v>0</v>
      </c>
      <c r="AS104" s="8">
        <f t="shared" si="57"/>
        <v>0</v>
      </c>
      <c r="AT104" s="8">
        <f t="shared" si="57"/>
        <v>0</v>
      </c>
      <c r="AU104" s="8">
        <f t="shared" si="57"/>
        <v>0</v>
      </c>
      <c r="AV104" s="8">
        <f>AV99</f>
        <v>0</v>
      </c>
    </row>
    <row r="105" spans="16:48" x14ac:dyDescent="0.25">
      <c r="Q105">
        <f t="shared" ref="Q105:AF105" si="58">$AG$3*AF2</f>
        <v>0</v>
      </c>
      <c r="R105">
        <f t="shared" si="58"/>
        <v>0</v>
      </c>
      <c r="S105">
        <f t="shared" si="58"/>
        <v>0</v>
      </c>
      <c r="T105">
        <f t="shared" si="58"/>
        <v>0</v>
      </c>
      <c r="U105">
        <f t="shared" si="58"/>
        <v>0</v>
      </c>
      <c r="V105">
        <f t="shared" si="58"/>
        <v>0</v>
      </c>
      <c r="W105">
        <f t="shared" si="58"/>
        <v>0</v>
      </c>
      <c r="X105">
        <f t="shared" si="58"/>
        <v>0</v>
      </c>
      <c r="Y105">
        <f t="shared" si="58"/>
        <v>0</v>
      </c>
      <c r="Z105">
        <f t="shared" si="58"/>
        <v>0</v>
      </c>
      <c r="AA105">
        <f t="shared" si="58"/>
        <v>0</v>
      </c>
      <c r="AB105">
        <f t="shared" si="58"/>
        <v>0</v>
      </c>
      <c r="AC105">
        <f t="shared" si="58"/>
        <v>0</v>
      </c>
      <c r="AD105">
        <f t="shared" si="58"/>
        <v>0</v>
      </c>
      <c r="AE105">
        <f t="shared" si="58"/>
        <v>0</v>
      </c>
      <c r="AF105">
        <f t="shared" si="58"/>
        <v>0</v>
      </c>
      <c r="AG105">
        <f>$AG$3*AV2</f>
        <v>0</v>
      </c>
      <c r="AH105" s="21">
        <v>0</v>
      </c>
      <c r="AI105" s="21">
        <v>0</v>
      </c>
      <c r="AJ105" s="21">
        <v>0</v>
      </c>
      <c r="AK105" s="21">
        <v>0</v>
      </c>
      <c r="AL105" s="21">
        <v>0</v>
      </c>
      <c r="AM105" s="21">
        <v>0</v>
      </c>
      <c r="AN105" s="21">
        <v>0</v>
      </c>
      <c r="AO105" s="21">
        <v>0</v>
      </c>
      <c r="AP105" s="21">
        <v>0</v>
      </c>
      <c r="AQ105" s="21">
        <v>0</v>
      </c>
      <c r="AR105" s="21">
        <v>0</v>
      </c>
      <c r="AS105" s="21">
        <v>0</v>
      </c>
      <c r="AT105" s="21">
        <v>0</v>
      </c>
      <c r="AU105" s="21">
        <v>0</v>
      </c>
      <c r="AV105" s="21">
        <v>0</v>
      </c>
    </row>
    <row r="106" spans="16:48" x14ac:dyDescent="0.25">
      <c r="Q106" s="11">
        <f t="shared" ref="Q106:AV106" si="59">IF(OR(AND(Q103=0,Q104=0,Q105=0),AND(Q103=1,Q104=1,Q105=0),AND(Q103=0,Q104=1,Q105=1),AND(Q103=1,Q104=0,Q105=1)),0,1)</f>
        <v>0</v>
      </c>
      <c r="R106" s="11">
        <f t="shared" si="59"/>
        <v>0</v>
      </c>
      <c r="S106" s="11">
        <f t="shared" si="59"/>
        <v>0</v>
      </c>
      <c r="T106" s="11">
        <f t="shared" si="59"/>
        <v>0</v>
      </c>
      <c r="U106" s="11">
        <f t="shared" si="59"/>
        <v>0</v>
      </c>
      <c r="V106" s="11">
        <f t="shared" si="59"/>
        <v>0</v>
      </c>
      <c r="W106" s="11">
        <f t="shared" si="59"/>
        <v>0</v>
      </c>
      <c r="X106" s="11">
        <f t="shared" si="59"/>
        <v>0</v>
      </c>
      <c r="Y106" s="11">
        <f t="shared" si="59"/>
        <v>0</v>
      </c>
      <c r="Z106" s="11">
        <f t="shared" si="59"/>
        <v>0</v>
      </c>
      <c r="AA106" s="11">
        <f t="shared" si="59"/>
        <v>0</v>
      </c>
      <c r="AB106" s="11">
        <f t="shared" si="59"/>
        <v>0</v>
      </c>
      <c r="AC106" s="11">
        <f t="shared" si="59"/>
        <v>0</v>
      </c>
      <c r="AD106" s="11">
        <f t="shared" si="59"/>
        <v>0</v>
      </c>
      <c r="AE106" s="11">
        <f t="shared" si="59"/>
        <v>0</v>
      </c>
      <c r="AF106" s="11">
        <f t="shared" si="59"/>
        <v>0</v>
      </c>
      <c r="AG106" s="11">
        <f t="shared" si="59"/>
        <v>0</v>
      </c>
      <c r="AH106" s="11">
        <f t="shared" si="59"/>
        <v>0</v>
      </c>
      <c r="AI106" s="11">
        <f t="shared" si="59"/>
        <v>0</v>
      </c>
      <c r="AJ106" s="11">
        <f t="shared" si="59"/>
        <v>0</v>
      </c>
      <c r="AK106" s="11">
        <f t="shared" si="59"/>
        <v>0</v>
      </c>
      <c r="AL106" s="11">
        <f t="shared" si="59"/>
        <v>0</v>
      </c>
      <c r="AM106" s="11">
        <f t="shared" si="59"/>
        <v>0</v>
      </c>
      <c r="AN106" s="11">
        <f t="shared" si="59"/>
        <v>0</v>
      </c>
      <c r="AO106" s="11">
        <f t="shared" si="59"/>
        <v>0</v>
      </c>
      <c r="AP106" s="11">
        <f t="shared" si="59"/>
        <v>0</v>
      </c>
      <c r="AQ106" s="11">
        <f t="shared" si="59"/>
        <v>0</v>
      </c>
      <c r="AR106" s="11">
        <f t="shared" si="59"/>
        <v>0</v>
      </c>
      <c r="AS106" s="11">
        <f t="shared" si="59"/>
        <v>0</v>
      </c>
      <c r="AT106" s="11">
        <f t="shared" si="59"/>
        <v>0</v>
      </c>
      <c r="AU106" s="11">
        <f t="shared" si="59"/>
        <v>0</v>
      </c>
      <c r="AV106" s="11">
        <f t="shared" si="59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03A9-586C-43B7-800B-34382F6695C4}">
  <sheetPr codeName="Foglio6"/>
  <dimension ref="A1:H33"/>
  <sheetViews>
    <sheetView workbookViewId="0">
      <selection activeCell="B2" sqref="B2"/>
    </sheetView>
  </sheetViews>
  <sheetFormatPr defaultRowHeight="15" x14ac:dyDescent="0.25"/>
  <cols>
    <col min="1" max="1" width="40.42578125" bestFit="1" customWidth="1"/>
    <col min="2" max="2" width="33.85546875" bestFit="1" customWidth="1"/>
    <col min="5" max="5" width="11" bestFit="1" customWidth="1"/>
    <col min="6" max="6" width="9.28515625" bestFit="1" customWidth="1"/>
    <col min="7" max="7" width="9.7109375" bestFit="1" customWidth="1"/>
    <col min="8" max="8" width="16.28515625" bestFit="1" customWidth="1"/>
  </cols>
  <sheetData>
    <row r="1" spans="1:8" x14ac:dyDescent="0.25">
      <c r="A1" t="s">
        <v>14</v>
      </c>
      <c r="B1" s="9" t="str">
        <f>'Interfaccia-macchina'!B2</f>
        <v>0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25">
      <c r="E2" s="10" t="str">
        <f>B1</f>
        <v>0</v>
      </c>
      <c r="F2" s="10">
        <v>2</v>
      </c>
      <c r="G2" s="10">
        <f>E2-($E3*$F$2)</f>
        <v>0</v>
      </c>
      <c r="H2" s="10">
        <v>0</v>
      </c>
    </row>
    <row r="3" spans="1:8" x14ac:dyDescent="0.25">
      <c r="A3" t="s">
        <v>19</v>
      </c>
      <c r="B3" s="9" t="str">
        <f>CONCATENATE(G33,G32,G31,G30,G29,G28,G27,G26,G25,G24,G23,G22,G21,G20,G19,G18,G17,G16,G15,G14,G13,G12,G11,G10,G9,G8,G7,G6,G5,G4,G3,G2)</f>
        <v>00000000000000000000000000000000</v>
      </c>
      <c r="E3" s="10">
        <f>INT($E2/$F$2)</f>
        <v>0</v>
      </c>
      <c r="F3" s="10"/>
      <c r="G3" s="10">
        <f t="shared" ref="G3:G33" si="0">E3-($E4*$F$2)</f>
        <v>0</v>
      </c>
      <c r="H3" s="10">
        <v>1</v>
      </c>
    </row>
    <row r="4" spans="1:8" x14ac:dyDescent="0.25">
      <c r="E4" s="10">
        <f t="shared" ref="E4:E33" si="1">INT($E3/$F$2)</f>
        <v>0</v>
      </c>
      <c r="F4" s="10"/>
      <c r="G4" s="10">
        <f t="shared" si="0"/>
        <v>0</v>
      </c>
      <c r="H4" s="10">
        <v>2</v>
      </c>
    </row>
    <row r="5" spans="1:8" x14ac:dyDescent="0.25">
      <c r="E5" s="10">
        <f t="shared" si="1"/>
        <v>0</v>
      </c>
      <c r="F5" s="10"/>
      <c r="G5" s="10">
        <f t="shared" si="0"/>
        <v>0</v>
      </c>
      <c r="H5" s="10">
        <v>3</v>
      </c>
    </row>
    <row r="6" spans="1:8" x14ac:dyDescent="0.25">
      <c r="E6" s="10">
        <f t="shared" si="1"/>
        <v>0</v>
      </c>
      <c r="F6" s="10"/>
      <c r="G6" s="10">
        <f t="shared" si="0"/>
        <v>0</v>
      </c>
      <c r="H6" s="10">
        <v>4</v>
      </c>
    </row>
    <row r="7" spans="1:8" x14ac:dyDescent="0.25">
      <c r="E7" s="10">
        <f t="shared" si="1"/>
        <v>0</v>
      </c>
      <c r="F7" s="10"/>
      <c r="G7" s="10">
        <f t="shared" si="0"/>
        <v>0</v>
      </c>
      <c r="H7" s="10">
        <v>5</v>
      </c>
    </row>
    <row r="8" spans="1:8" x14ac:dyDescent="0.25">
      <c r="E8" s="10">
        <f t="shared" si="1"/>
        <v>0</v>
      </c>
      <c r="F8" s="10"/>
      <c r="G8" s="10">
        <f t="shared" si="0"/>
        <v>0</v>
      </c>
      <c r="H8" s="10">
        <v>6</v>
      </c>
    </row>
    <row r="9" spans="1:8" x14ac:dyDescent="0.25">
      <c r="E9" s="10">
        <f t="shared" si="1"/>
        <v>0</v>
      </c>
      <c r="F9" s="10"/>
      <c r="G9" s="10">
        <f t="shared" si="0"/>
        <v>0</v>
      </c>
      <c r="H9" s="10">
        <v>7</v>
      </c>
    </row>
    <row r="10" spans="1:8" x14ac:dyDescent="0.25">
      <c r="E10" s="10">
        <f t="shared" si="1"/>
        <v>0</v>
      </c>
      <c r="G10" s="10">
        <f t="shared" si="0"/>
        <v>0</v>
      </c>
      <c r="H10" s="10">
        <v>8</v>
      </c>
    </row>
    <row r="11" spans="1:8" x14ac:dyDescent="0.25">
      <c r="E11" s="10">
        <f t="shared" si="1"/>
        <v>0</v>
      </c>
      <c r="G11" s="10">
        <f t="shared" si="0"/>
        <v>0</v>
      </c>
      <c r="H11" s="10">
        <v>9</v>
      </c>
    </row>
    <row r="12" spans="1:8" x14ac:dyDescent="0.25">
      <c r="E12" s="10">
        <f t="shared" si="1"/>
        <v>0</v>
      </c>
      <c r="G12" s="10">
        <f t="shared" si="0"/>
        <v>0</v>
      </c>
      <c r="H12" s="10">
        <v>10</v>
      </c>
    </row>
    <row r="13" spans="1:8" x14ac:dyDescent="0.25">
      <c r="E13" s="10">
        <f t="shared" si="1"/>
        <v>0</v>
      </c>
      <c r="G13" s="10">
        <f t="shared" si="0"/>
        <v>0</v>
      </c>
      <c r="H13" s="10">
        <v>11</v>
      </c>
    </row>
    <row r="14" spans="1:8" x14ac:dyDescent="0.25">
      <c r="E14" s="10">
        <f t="shared" si="1"/>
        <v>0</v>
      </c>
      <c r="G14" s="10">
        <f t="shared" si="0"/>
        <v>0</v>
      </c>
      <c r="H14" s="10">
        <v>12</v>
      </c>
    </row>
    <row r="15" spans="1:8" x14ac:dyDescent="0.25">
      <c r="E15" s="10">
        <f t="shared" si="1"/>
        <v>0</v>
      </c>
      <c r="G15" s="10">
        <f t="shared" si="0"/>
        <v>0</v>
      </c>
      <c r="H15" s="10">
        <v>13</v>
      </c>
    </row>
    <row r="16" spans="1:8" x14ac:dyDescent="0.25">
      <c r="E16" s="10">
        <f t="shared" si="1"/>
        <v>0</v>
      </c>
      <c r="G16" s="10">
        <f t="shared" si="0"/>
        <v>0</v>
      </c>
      <c r="H16" s="10">
        <v>14</v>
      </c>
    </row>
    <row r="17" spans="5:8" x14ac:dyDescent="0.25">
      <c r="E17" s="10">
        <f t="shared" si="1"/>
        <v>0</v>
      </c>
      <c r="G17" s="10">
        <f t="shared" si="0"/>
        <v>0</v>
      </c>
      <c r="H17" s="10">
        <v>15</v>
      </c>
    </row>
    <row r="18" spans="5:8" x14ac:dyDescent="0.25">
      <c r="E18" s="10">
        <f t="shared" si="1"/>
        <v>0</v>
      </c>
      <c r="G18" s="10">
        <f t="shared" si="0"/>
        <v>0</v>
      </c>
      <c r="H18" s="10">
        <v>16</v>
      </c>
    </row>
    <row r="19" spans="5:8" x14ac:dyDescent="0.25">
      <c r="E19" s="10">
        <f t="shared" si="1"/>
        <v>0</v>
      </c>
      <c r="G19" s="10">
        <f t="shared" si="0"/>
        <v>0</v>
      </c>
      <c r="H19" s="10">
        <v>17</v>
      </c>
    </row>
    <row r="20" spans="5:8" x14ac:dyDescent="0.25">
      <c r="E20" s="10">
        <f t="shared" si="1"/>
        <v>0</v>
      </c>
      <c r="G20" s="10">
        <f t="shared" si="0"/>
        <v>0</v>
      </c>
      <c r="H20" s="10">
        <v>18</v>
      </c>
    </row>
    <row r="21" spans="5:8" x14ac:dyDescent="0.25">
      <c r="E21" s="10">
        <f t="shared" si="1"/>
        <v>0</v>
      </c>
      <c r="G21" s="10">
        <f t="shared" si="0"/>
        <v>0</v>
      </c>
      <c r="H21" s="10">
        <v>19</v>
      </c>
    </row>
    <row r="22" spans="5:8" x14ac:dyDescent="0.25">
      <c r="E22" s="10">
        <f t="shared" si="1"/>
        <v>0</v>
      </c>
      <c r="G22" s="10">
        <f t="shared" si="0"/>
        <v>0</v>
      </c>
      <c r="H22" s="10">
        <v>20</v>
      </c>
    </row>
    <row r="23" spans="5:8" x14ac:dyDescent="0.25">
      <c r="E23" s="10">
        <f t="shared" si="1"/>
        <v>0</v>
      </c>
      <c r="G23" s="10">
        <f t="shared" si="0"/>
        <v>0</v>
      </c>
      <c r="H23" s="10">
        <v>21</v>
      </c>
    </row>
    <row r="24" spans="5:8" x14ac:dyDescent="0.25">
      <c r="E24" s="10">
        <f t="shared" si="1"/>
        <v>0</v>
      </c>
      <c r="G24" s="10">
        <f t="shared" si="0"/>
        <v>0</v>
      </c>
      <c r="H24" s="10">
        <v>22</v>
      </c>
    </row>
    <row r="25" spans="5:8" x14ac:dyDescent="0.25">
      <c r="E25" s="10">
        <f t="shared" si="1"/>
        <v>0</v>
      </c>
      <c r="G25" s="10">
        <f t="shared" si="0"/>
        <v>0</v>
      </c>
      <c r="H25" s="10">
        <v>23</v>
      </c>
    </row>
    <row r="26" spans="5:8" x14ac:dyDescent="0.25">
      <c r="E26" s="10">
        <f t="shared" si="1"/>
        <v>0</v>
      </c>
      <c r="G26" s="10">
        <f t="shared" si="0"/>
        <v>0</v>
      </c>
      <c r="H26" s="10">
        <v>24</v>
      </c>
    </row>
    <row r="27" spans="5:8" x14ac:dyDescent="0.25">
      <c r="E27" s="10">
        <f t="shared" si="1"/>
        <v>0</v>
      </c>
      <c r="G27" s="10">
        <f t="shared" si="0"/>
        <v>0</v>
      </c>
      <c r="H27" s="10">
        <v>25</v>
      </c>
    </row>
    <row r="28" spans="5:8" x14ac:dyDescent="0.25">
      <c r="E28" s="10">
        <f t="shared" si="1"/>
        <v>0</v>
      </c>
      <c r="G28" s="10">
        <f t="shared" si="0"/>
        <v>0</v>
      </c>
      <c r="H28" s="10">
        <v>26</v>
      </c>
    </row>
    <row r="29" spans="5:8" x14ac:dyDescent="0.25">
      <c r="E29" s="10">
        <f t="shared" si="1"/>
        <v>0</v>
      </c>
      <c r="G29" s="10">
        <f t="shared" si="0"/>
        <v>0</v>
      </c>
      <c r="H29" s="10">
        <v>27</v>
      </c>
    </row>
    <row r="30" spans="5:8" x14ac:dyDescent="0.25">
      <c r="E30" s="10">
        <f t="shared" si="1"/>
        <v>0</v>
      </c>
      <c r="G30" s="10">
        <f t="shared" si="0"/>
        <v>0</v>
      </c>
      <c r="H30" s="10">
        <v>28</v>
      </c>
    </row>
    <row r="31" spans="5:8" x14ac:dyDescent="0.25">
      <c r="E31" s="10">
        <f t="shared" si="1"/>
        <v>0</v>
      </c>
      <c r="G31" s="10">
        <f t="shared" si="0"/>
        <v>0</v>
      </c>
      <c r="H31" s="10">
        <v>29</v>
      </c>
    </row>
    <row r="32" spans="5:8" x14ac:dyDescent="0.25">
      <c r="E32" s="10">
        <f t="shared" si="1"/>
        <v>0</v>
      </c>
      <c r="G32" s="10">
        <f t="shared" si="0"/>
        <v>0</v>
      </c>
      <c r="H32" s="10">
        <v>30</v>
      </c>
    </row>
    <row r="33" spans="5:8" x14ac:dyDescent="0.25">
      <c r="E33" s="10">
        <f t="shared" si="1"/>
        <v>0</v>
      </c>
      <c r="G33" s="10">
        <f t="shared" si="0"/>
        <v>0</v>
      </c>
      <c r="H33" s="10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7BFA2-1EBC-4763-97AF-D2C076EA4BAF}">
  <sheetPr codeName="Foglio7"/>
  <dimension ref="A1:H41"/>
  <sheetViews>
    <sheetView workbookViewId="0">
      <selection activeCell="E18" sqref="E18"/>
    </sheetView>
  </sheetViews>
  <sheetFormatPr defaultRowHeight="15" x14ac:dyDescent="0.25"/>
  <cols>
    <col min="1" max="1" width="40.42578125" bestFit="1" customWidth="1"/>
    <col min="2" max="2" width="33.85546875" bestFit="1" customWidth="1"/>
    <col min="5" max="5" width="11" bestFit="1" customWidth="1"/>
    <col min="6" max="6" width="9.28515625" bestFit="1" customWidth="1"/>
    <col min="7" max="7" width="6.5703125" bestFit="1" customWidth="1"/>
    <col min="8" max="8" width="16.28515625" bestFit="1" customWidth="1"/>
  </cols>
  <sheetData>
    <row r="1" spans="1:8" x14ac:dyDescent="0.25">
      <c r="A1" t="s">
        <v>14</v>
      </c>
      <c r="B1" s="9">
        <f>'Interfaccia-macchina'!B3</f>
        <v>0</v>
      </c>
      <c r="E1" t="s">
        <v>15</v>
      </c>
      <c r="F1" t="s">
        <v>16</v>
      </c>
      <c r="G1" t="s">
        <v>17</v>
      </c>
      <c r="H1" t="s">
        <v>18</v>
      </c>
    </row>
    <row r="2" spans="1:8" x14ac:dyDescent="0.25">
      <c r="E2" s="10">
        <f>B1</f>
        <v>0</v>
      </c>
      <c r="F2" s="10">
        <v>2</v>
      </c>
      <c r="G2" s="10">
        <f>E2-($E3*$F$2)</f>
        <v>0</v>
      </c>
      <c r="H2" s="10">
        <v>0</v>
      </c>
    </row>
    <row r="3" spans="1:8" x14ac:dyDescent="0.25">
      <c r="A3" t="s">
        <v>19</v>
      </c>
      <c r="B3" s="9" t="str">
        <f>CONCATENATE(G33,G32,G31,G30,G29,G28,G27,G26,G25,G24,G23,G22,G21,G20,G19,G18,G17,G16,G15,G14,G13,G12,G11,G10,G9,G8,G7,G6,G5,G4,G3,G2)</f>
        <v>00000000000000000000000000000000</v>
      </c>
      <c r="E3" s="10">
        <f>INT($E2/$F$2)</f>
        <v>0</v>
      </c>
      <c r="F3" s="10"/>
      <c r="G3" s="10">
        <f t="shared" ref="G3:G33" si="0">E3-($E4*$F$2)</f>
        <v>0</v>
      </c>
      <c r="H3" s="10">
        <v>1</v>
      </c>
    </row>
    <row r="4" spans="1:8" x14ac:dyDescent="0.25">
      <c r="E4" s="10">
        <f t="shared" ref="E4:E33" si="1">INT($E3/$F$2)</f>
        <v>0</v>
      </c>
      <c r="F4" s="10"/>
      <c r="G4" s="10">
        <f t="shared" si="0"/>
        <v>0</v>
      </c>
      <c r="H4" s="10">
        <v>2</v>
      </c>
    </row>
    <row r="5" spans="1:8" x14ac:dyDescent="0.25">
      <c r="E5" s="10">
        <f t="shared" si="1"/>
        <v>0</v>
      </c>
      <c r="F5" s="10"/>
      <c r="G5" s="10">
        <f t="shared" si="0"/>
        <v>0</v>
      </c>
      <c r="H5" s="10">
        <v>3</v>
      </c>
    </row>
    <row r="6" spans="1:8" x14ac:dyDescent="0.25">
      <c r="E6" s="10">
        <f t="shared" si="1"/>
        <v>0</v>
      </c>
      <c r="F6" s="10"/>
      <c r="G6" s="10">
        <f t="shared" si="0"/>
        <v>0</v>
      </c>
      <c r="H6" s="10">
        <v>4</v>
      </c>
    </row>
    <row r="7" spans="1:8" x14ac:dyDescent="0.25">
      <c r="E7" s="10">
        <f t="shared" si="1"/>
        <v>0</v>
      </c>
      <c r="F7" s="10"/>
      <c r="G7" s="10">
        <f t="shared" si="0"/>
        <v>0</v>
      </c>
      <c r="H7" s="10">
        <v>5</v>
      </c>
    </row>
    <row r="8" spans="1:8" x14ac:dyDescent="0.25">
      <c r="E8" s="10">
        <f t="shared" si="1"/>
        <v>0</v>
      </c>
      <c r="F8" s="10"/>
      <c r="G8" s="10">
        <f t="shared" si="0"/>
        <v>0</v>
      </c>
      <c r="H8" s="10">
        <v>6</v>
      </c>
    </row>
    <row r="9" spans="1:8" x14ac:dyDescent="0.25">
      <c r="E9" s="10">
        <f t="shared" si="1"/>
        <v>0</v>
      </c>
      <c r="F9" s="10"/>
      <c r="G9" s="10">
        <f t="shared" si="0"/>
        <v>0</v>
      </c>
      <c r="H9" s="10">
        <v>7</v>
      </c>
    </row>
    <row r="10" spans="1:8" x14ac:dyDescent="0.25">
      <c r="E10" s="10">
        <f t="shared" si="1"/>
        <v>0</v>
      </c>
      <c r="G10" s="10">
        <f t="shared" si="0"/>
        <v>0</v>
      </c>
      <c r="H10" s="10">
        <v>8</v>
      </c>
    </row>
    <row r="11" spans="1:8" x14ac:dyDescent="0.25">
      <c r="E11" s="10">
        <f t="shared" si="1"/>
        <v>0</v>
      </c>
      <c r="G11" s="10">
        <f t="shared" si="0"/>
        <v>0</v>
      </c>
      <c r="H11" s="10">
        <v>9</v>
      </c>
    </row>
    <row r="12" spans="1:8" x14ac:dyDescent="0.25">
      <c r="E12" s="10">
        <f t="shared" si="1"/>
        <v>0</v>
      </c>
      <c r="G12" s="10">
        <f t="shared" si="0"/>
        <v>0</v>
      </c>
      <c r="H12" s="10">
        <v>10</v>
      </c>
    </row>
    <row r="13" spans="1:8" x14ac:dyDescent="0.25">
      <c r="E13" s="10">
        <f t="shared" si="1"/>
        <v>0</v>
      </c>
      <c r="G13" s="10">
        <f t="shared" si="0"/>
        <v>0</v>
      </c>
      <c r="H13" s="10">
        <v>11</v>
      </c>
    </row>
    <row r="14" spans="1:8" x14ac:dyDescent="0.25">
      <c r="E14" s="10">
        <f t="shared" si="1"/>
        <v>0</v>
      </c>
      <c r="G14" s="10">
        <f t="shared" si="0"/>
        <v>0</v>
      </c>
      <c r="H14" s="10">
        <v>12</v>
      </c>
    </row>
    <row r="15" spans="1:8" x14ac:dyDescent="0.25">
      <c r="E15" s="10">
        <f t="shared" si="1"/>
        <v>0</v>
      </c>
      <c r="G15" s="10">
        <f t="shared" si="0"/>
        <v>0</v>
      </c>
      <c r="H15" s="10">
        <v>13</v>
      </c>
    </row>
    <row r="16" spans="1:8" x14ac:dyDescent="0.25">
      <c r="E16" s="10">
        <f t="shared" si="1"/>
        <v>0</v>
      </c>
      <c r="G16" s="10">
        <f t="shared" si="0"/>
        <v>0</v>
      </c>
      <c r="H16" s="10">
        <v>14</v>
      </c>
    </row>
    <row r="17" spans="5:8" x14ac:dyDescent="0.25">
      <c r="E17" s="10">
        <f t="shared" si="1"/>
        <v>0</v>
      </c>
      <c r="G17" s="10">
        <f t="shared" si="0"/>
        <v>0</v>
      </c>
      <c r="H17" s="10">
        <v>15</v>
      </c>
    </row>
    <row r="18" spans="5:8" x14ac:dyDescent="0.25">
      <c r="E18" s="10">
        <f t="shared" si="1"/>
        <v>0</v>
      </c>
      <c r="G18" s="10">
        <f t="shared" si="0"/>
        <v>0</v>
      </c>
      <c r="H18" s="10">
        <v>16</v>
      </c>
    </row>
    <row r="19" spans="5:8" x14ac:dyDescent="0.25">
      <c r="E19" s="10">
        <f t="shared" si="1"/>
        <v>0</v>
      </c>
      <c r="G19" s="10">
        <f t="shared" si="0"/>
        <v>0</v>
      </c>
      <c r="H19" s="10">
        <v>17</v>
      </c>
    </row>
    <row r="20" spans="5:8" x14ac:dyDescent="0.25">
      <c r="E20" s="10">
        <f t="shared" si="1"/>
        <v>0</v>
      </c>
      <c r="G20" s="10">
        <f t="shared" si="0"/>
        <v>0</v>
      </c>
      <c r="H20" s="10">
        <v>18</v>
      </c>
    </row>
    <row r="21" spans="5:8" x14ac:dyDescent="0.25">
      <c r="E21" s="10">
        <f t="shared" si="1"/>
        <v>0</v>
      </c>
      <c r="G21" s="10">
        <f t="shared" si="0"/>
        <v>0</v>
      </c>
      <c r="H21" s="10">
        <v>19</v>
      </c>
    </row>
    <row r="22" spans="5:8" x14ac:dyDescent="0.25">
      <c r="E22" s="10">
        <f t="shared" si="1"/>
        <v>0</v>
      </c>
      <c r="G22" s="10">
        <f t="shared" si="0"/>
        <v>0</v>
      </c>
      <c r="H22" s="10">
        <v>20</v>
      </c>
    </row>
    <row r="23" spans="5:8" x14ac:dyDescent="0.25">
      <c r="E23" s="10">
        <f t="shared" si="1"/>
        <v>0</v>
      </c>
      <c r="G23" s="10">
        <f t="shared" si="0"/>
        <v>0</v>
      </c>
      <c r="H23" s="10">
        <v>21</v>
      </c>
    </row>
    <row r="24" spans="5:8" x14ac:dyDescent="0.25">
      <c r="E24" s="10">
        <f t="shared" si="1"/>
        <v>0</v>
      </c>
      <c r="G24" s="10">
        <f t="shared" si="0"/>
        <v>0</v>
      </c>
      <c r="H24" s="10">
        <v>22</v>
      </c>
    </row>
    <row r="25" spans="5:8" x14ac:dyDescent="0.25">
      <c r="E25" s="10">
        <f t="shared" si="1"/>
        <v>0</v>
      </c>
      <c r="G25" s="10">
        <f t="shared" si="0"/>
        <v>0</v>
      </c>
      <c r="H25" s="10">
        <v>23</v>
      </c>
    </row>
    <row r="26" spans="5:8" x14ac:dyDescent="0.25">
      <c r="E26" s="10">
        <f t="shared" si="1"/>
        <v>0</v>
      </c>
      <c r="G26" s="10">
        <f t="shared" si="0"/>
        <v>0</v>
      </c>
      <c r="H26" s="10">
        <v>24</v>
      </c>
    </row>
    <row r="27" spans="5:8" x14ac:dyDescent="0.25">
      <c r="E27" s="10">
        <f t="shared" si="1"/>
        <v>0</v>
      </c>
      <c r="G27" s="10">
        <f t="shared" si="0"/>
        <v>0</v>
      </c>
      <c r="H27" s="10">
        <v>25</v>
      </c>
    </row>
    <row r="28" spans="5:8" x14ac:dyDescent="0.25">
      <c r="E28" s="10">
        <f t="shared" si="1"/>
        <v>0</v>
      </c>
      <c r="G28" s="10">
        <f t="shared" si="0"/>
        <v>0</v>
      </c>
      <c r="H28" s="10">
        <v>26</v>
      </c>
    </row>
    <row r="29" spans="5:8" x14ac:dyDescent="0.25">
      <c r="E29" s="10">
        <f t="shared" si="1"/>
        <v>0</v>
      </c>
      <c r="G29" s="10">
        <f t="shared" si="0"/>
        <v>0</v>
      </c>
      <c r="H29" s="10">
        <v>27</v>
      </c>
    </row>
    <row r="30" spans="5:8" x14ac:dyDescent="0.25">
      <c r="E30" s="10">
        <f t="shared" si="1"/>
        <v>0</v>
      </c>
      <c r="G30" s="10">
        <f t="shared" si="0"/>
        <v>0</v>
      </c>
      <c r="H30" s="10">
        <v>28</v>
      </c>
    </row>
    <row r="31" spans="5:8" x14ac:dyDescent="0.25">
      <c r="E31" s="10">
        <f t="shared" si="1"/>
        <v>0</v>
      </c>
      <c r="G31" s="10">
        <f t="shared" si="0"/>
        <v>0</v>
      </c>
      <c r="H31" s="10">
        <v>29</v>
      </c>
    </row>
    <row r="32" spans="5:8" x14ac:dyDescent="0.25">
      <c r="E32" s="10">
        <f t="shared" si="1"/>
        <v>0</v>
      </c>
      <c r="G32" s="10">
        <f t="shared" si="0"/>
        <v>0</v>
      </c>
      <c r="H32" s="10">
        <v>30</v>
      </c>
    </row>
    <row r="33" spans="5:8" x14ac:dyDescent="0.25">
      <c r="E33" s="10">
        <f t="shared" si="1"/>
        <v>0</v>
      </c>
      <c r="G33" s="10">
        <f t="shared" si="0"/>
        <v>0</v>
      </c>
      <c r="H33" s="10">
        <v>31</v>
      </c>
    </row>
    <row r="34" spans="5:8" x14ac:dyDescent="0.25">
      <c r="H34" s="10"/>
    </row>
    <row r="35" spans="5:8" x14ac:dyDescent="0.25">
      <c r="H35" s="10"/>
    </row>
    <row r="36" spans="5:8" x14ac:dyDescent="0.25">
      <c r="H36" s="10"/>
    </row>
    <row r="37" spans="5:8" x14ac:dyDescent="0.25">
      <c r="H37" s="10"/>
    </row>
    <row r="38" spans="5:8" x14ac:dyDescent="0.25">
      <c r="H38" s="10"/>
    </row>
    <row r="39" spans="5:8" x14ac:dyDescent="0.25">
      <c r="H39" s="10"/>
    </row>
    <row r="40" spans="5:8" x14ac:dyDescent="0.25">
      <c r="H40" s="10"/>
    </row>
    <row r="41" spans="5:8" x14ac:dyDescent="0.25">
      <c r="H41" s="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A96F8-0E42-4276-968D-C88DEDE68C06}">
  <sheetPr codeName="Foglio8"/>
  <dimension ref="A1:H40"/>
  <sheetViews>
    <sheetView workbookViewId="0">
      <selection activeCell="B3" sqref="B3"/>
    </sheetView>
  </sheetViews>
  <sheetFormatPr defaultRowHeight="15" x14ac:dyDescent="0.25"/>
  <cols>
    <col min="1" max="1" width="11.5703125" bestFit="1" customWidth="1"/>
    <col min="2" max="2" width="33.85546875" bestFit="1" customWidth="1"/>
    <col min="4" max="4" width="16.140625" bestFit="1" customWidth="1"/>
    <col min="5" max="5" width="11.85546875" bestFit="1" customWidth="1"/>
    <col min="6" max="6" width="5.42578125" bestFit="1" customWidth="1"/>
    <col min="7" max="8" width="16.28515625" bestFit="1" customWidth="1"/>
  </cols>
  <sheetData>
    <row r="1" spans="1:8" x14ac:dyDescent="0.25">
      <c r="A1" t="s">
        <v>14</v>
      </c>
      <c r="B1" s="9" t="str">
        <f>'Interfaccia-macchina'!B14</f>
        <v>QUALCOSA NON VA</v>
      </c>
      <c r="C1" s="9"/>
      <c r="D1" s="9" t="s">
        <v>27</v>
      </c>
      <c r="E1" s="9" t="s">
        <v>28</v>
      </c>
      <c r="F1" s="9" t="s">
        <v>29</v>
      </c>
      <c r="G1" s="9" t="s">
        <v>18</v>
      </c>
      <c r="H1" s="9" t="s">
        <v>30</v>
      </c>
    </row>
    <row r="2" spans="1:8" x14ac:dyDescent="0.25">
      <c r="B2" s="9"/>
      <c r="C2" s="9"/>
      <c r="D2" s="9" t="str">
        <f>MID($B$1,E2,1)</f>
        <v/>
      </c>
      <c r="E2" s="9">
        <v>32</v>
      </c>
      <c r="F2" s="9">
        <v>2</v>
      </c>
      <c r="G2" s="9">
        <v>0</v>
      </c>
      <c r="H2" s="10">
        <f t="shared" ref="H2:H33" si="0">IF(D2&lt;&gt;"",D2*$F$2^G2,)</f>
        <v>0</v>
      </c>
    </row>
    <row r="3" spans="1:8" x14ac:dyDescent="0.25">
      <c r="A3" t="s">
        <v>31</v>
      </c>
      <c r="B3" s="10" t="e">
        <f>SUM(H2:H65)</f>
        <v>#VALUE!</v>
      </c>
      <c r="C3" s="9"/>
      <c r="D3" s="9" t="str">
        <f t="shared" ref="D3:D32" si="1">MID($B$1,E3,1)</f>
        <v/>
      </c>
      <c r="E3" s="9">
        <v>31</v>
      </c>
      <c r="F3" s="9"/>
      <c r="G3" s="9">
        <v>1</v>
      </c>
      <c r="H3" s="10">
        <f t="shared" si="0"/>
        <v>0</v>
      </c>
    </row>
    <row r="4" spans="1:8" x14ac:dyDescent="0.25">
      <c r="B4" s="9"/>
      <c r="C4" s="9"/>
      <c r="D4" s="9" t="str">
        <f t="shared" si="1"/>
        <v/>
      </c>
      <c r="E4" s="9">
        <v>30</v>
      </c>
      <c r="F4" s="9"/>
      <c r="G4" s="9">
        <v>2</v>
      </c>
      <c r="H4" s="10">
        <f t="shared" si="0"/>
        <v>0</v>
      </c>
    </row>
    <row r="5" spans="1:8" x14ac:dyDescent="0.25">
      <c r="B5" s="9"/>
      <c r="C5" s="9"/>
      <c r="D5" s="9" t="str">
        <f t="shared" si="1"/>
        <v/>
      </c>
      <c r="E5" s="9">
        <v>29</v>
      </c>
      <c r="F5" s="9"/>
      <c r="G5" s="9">
        <v>3</v>
      </c>
      <c r="H5" s="10">
        <f t="shared" si="0"/>
        <v>0</v>
      </c>
    </row>
    <row r="6" spans="1:8" x14ac:dyDescent="0.25">
      <c r="B6" s="9"/>
      <c r="C6" s="9"/>
      <c r="D6" s="9" t="str">
        <f t="shared" si="1"/>
        <v/>
      </c>
      <c r="E6" s="9">
        <v>28</v>
      </c>
      <c r="F6" s="9"/>
      <c r="G6" s="9">
        <v>4</v>
      </c>
      <c r="H6" s="10">
        <f t="shared" si="0"/>
        <v>0</v>
      </c>
    </row>
    <row r="7" spans="1:8" x14ac:dyDescent="0.25">
      <c r="B7" s="9"/>
      <c r="C7" s="9"/>
      <c r="D7" s="9" t="str">
        <f t="shared" si="1"/>
        <v/>
      </c>
      <c r="E7" s="9">
        <v>27</v>
      </c>
      <c r="F7" s="9"/>
      <c r="G7" s="9">
        <v>5</v>
      </c>
      <c r="H7" s="10">
        <f t="shared" si="0"/>
        <v>0</v>
      </c>
    </row>
    <row r="8" spans="1:8" x14ac:dyDescent="0.25">
      <c r="B8" s="9"/>
      <c r="C8" s="9"/>
      <c r="D8" s="9" t="str">
        <f t="shared" si="1"/>
        <v/>
      </c>
      <c r="E8" s="9">
        <v>26</v>
      </c>
      <c r="F8" s="9"/>
      <c r="G8" s="9">
        <v>6</v>
      </c>
      <c r="H8" s="10">
        <f t="shared" si="0"/>
        <v>0</v>
      </c>
    </row>
    <row r="9" spans="1:8" x14ac:dyDescent="0.25">
      <c r="B9" s="9"/>
      <c r="C9" s="9"/>
      <c r="D9" s="9" t="str">
        <f t="shared" si="1"/>
        <v/>
      </c>
      <c r="E9" s="9">
        <v>25</v>
      </c>
      <c r="F9" s="9"/>
      <c r="G9" s="9">
        <v>7</v>
      </c>
      <c r="H9" s="10">
        <f t="shared" si="0"/>
        <v>0</v>
      </c>
    </row>
    <row r="10" spans="1:8" x14ac:dyDescent="0.25">
      <c r="D10" s="9" t="str">
        <f t="shared" si="1"/>
        <v/>
      </c>
      <c r="E10" s="9">
        <v>24</v>
      </c>
      <c r="G10" s="9">
        <v>8</v>
      </c>
      <c r="H10" s="10">
        <f t="shared" si="0"/>
        <v>0</v>
      </c>
    </row>
    <row r="11" spans="1:8" x14ac:dyDescent="0.25">
      <c r="D11" s="9" t="str">
        <f t="shared" si="1"/>
        <v/>
      </c>
      <c r="E11" s="9">
        <v>23</v>
      </c>
      <c r="G11" s="9">
        <v>9</v>
      </c>
      <c r="H11" s="10">
        <f t="shared" si="0"/>
        <v>0</v>
      </c>
    </row>
    <row r="12" spans="1:8" x14ac:dyDescent="0.25">
      <c r="D12" s="9" t="str">
        <f t="shared" si="1"/>
        <v/>
      </c>
      <c r="E12" s="9">
        <v>22</v>
      </c>
      <c r="G12" s="9">
        <v>10</v>
      </c>
      <c r="H12" s="10">
        <f t="shared" si="0"/>
        <v>0</v>
      </c>
    </row>
    <row r="13" spans="1:8" x14ac:dyDescent="0.25">
      <c r="D13" s="9" t="str">
        <f t="shared" si="1"/>
        <v/>
      </c>
      <c r="E13" s="9">
        <v>21</v>
      </c>
      <c r="G13" s="9">
        <v>11</v>
      </c>
      <c r="H13" s="10">
        <f t="shared" si="0"/>
        <v>0</v>
      </c>
    </row>
    <row r="14" spans="1:8" x14ac:dyDescent="0.25">
      <c r="D14" s="9" t="str">
        <f t="shared" si="1"/>
        <v/>
      </c>
      <c r="E14" s="9">
        <v>20</v>
      </c>
      <c r="G14" s="9">
        <v>12</v>
      </c>
      <c r="H14" s="10">
        <f t="shared" si="0"/>
        <v>0</v>
      </c>
    </row>
    <row r="15" spans="1:8" x14ac:dyDescent="0.25">
      <c r="D15" s="9" t="str">
        <f t="shared" si="1"/>
        <v/>
      </c>
      <c r="E15" s="9">
        <v>19</v>
      </c>
      <c r="G15" s="9">
        <v>13</v>
      </c>
      <c r="H15" s="10">
        <f t="shared" si="0"/>
        <v>0</v>
      </c>
    </row>
    <row r="16" spans="1:8" x14ac:dyDescent="0.25">
      <c r="D16" s="9" t="str">
        <f t="shared" si="1"/>
        <v/>
      </c>
      <c r="E16" s="9">
        <v>18</v>
      </c>
      <c r="G16" s="9">
        <v>14</v>
      </c>
      <c r="H16" s="10">
        <f t="shared" si="0"/>
        <v>0</v>
      </c>
    </row>
    <row r="17" spans="4:8" x14ac:dyDescent="0.25">
      <c r="D17" s="9" t="str">
        <f t="shared" si="1"/>
        <v/>
      </c>
      <c r="E17" s="9">
        <v>17</v>
      </c>
      <c r="G17" s="9">
        <v>15</v>
      </c>
      <c r="H17" s="10">
        <f t="shared" si="0"/>
        <v>0</v>
      </c>
    </row>
    <row r="18" spans="4:8" x14ac:dyDescent="0.25">
      <c r="D18" s="9" t="str">
        <f t="shared" si="1"/>
        <v/>
      </c>
      <c r="E18" s="9">
        <v>16</v>
      </c>
      <c r="G18" s="9">
        <v>16</v>
      </c>
      <c r="H18" s="10">
        <f t="shared" si="0"/>
        <v>0</v>
      </c>
    </row>
    <row r="19" spans="4:8" x14ac:dyDescent="0.25">
      <c r="D19" s="9" t="str">
        <f t="shared" si="1"/>
        <v>A</v>
      </c>
      <c r="E19" s="9">
        <v>15</v>
      </c>
      <c r="G19" s="9">
        <v>17</v>
      </c>
      <c r="H19" s="10" t="e">
        <f t="shared" si="0"/>
        <v>#VALUE!</v>
      </c>
    </row>
    <row r="20" spans="4:8" x14ac:dyDescent="0.25">
      <c r="D20" s="9" t="str">
        <f t="shared" si="1"/>
        <v>V</v>
      </c>
      <c r="E20" s="9">
        <v>14</v>
      </c>
      <c r="G20" s="9">
        <v>18</v>
      </c>
      <c r="H20" s="10" t="e">
        <f t="shared" si="0"/>
        <v>#VALUE!</v>
      </c>
    </row>
    <row r="21" spans="4:8" x14ac:dyDescent="0.25">
      <c r="D21" s="9" t="str">
        <f t="shared" si="1"/>
        <v xml:space="preserve"> </v>
      </c>
      <c r="E21" s="9">
        <v>13</v>
      </c>
      <c r="G21" s="9">
        <v>19</v>
      </c>
      <c r="H21" s="10" t="e">
        <f t="shared" si="0"/>
        <v>#VALUE!</v>
      </c>
    </row>
    <row r="22" spans="4:8" x14ac:dyDescent="0.25">
      <c r="D22" s="9" t="str">
        <f t="shared" si="1"/>
        <v>N</v>
      </c>
      <c r="E22" s="9">
        <v>12</v>
      </c>
      <c r="G22" s="9">
        <v>20</v>
      </c>
      <c r="H22" s="10" t="e">
        <f t="shared" si="0"/>
        <v>#VALUE!</v>
      </c>
    </row>
    <row r="23" spans="4:8" x14ac:dyDescent="0.25">
      <c r="D23" s="9" t="str">
        <f t="shared" si="1"/>
        <v>O</v>
      </c>
      <c r="E23" s="9">
        <v>11</v>
      </c>
      <c r="G23" s="9">
        <v>21</v>
      </c>
      <c r="H23" s="10" t="e">
        <f t="shared" si="0"/>
        <v>#VALUE!</v>
      </c>
    </row>
    <row r="24" spans="4:8" x14ac:dyDescent="0.25">
      <c r="D24" s="9" t="str">
        <f t="shared" si="1"/>
        <v>N</v>
      </c>
      <c r="E24" s="9">
        <v>10</v>
      </c>
      <c r="G24" s="9">
        <v>22</v>
      </c>
      <c r="H24" s="10" t="e">
        <f t="shared" si="0"/>
        <v>#VALUE!</v>
      </c>
    </row>
    <row r="25" spans="4:8" x14ac:dyDescent="0.25">
      <c r="D25" s="9" t="str">
        <f t="shared" si="1"/>
        <v xml:space="preserve"> </v>
      </c>
      <c r="E25" s="9">
        <v>9</v>
      </c>
      <c r="G25" s="9">
        <v>23</v>
      </c>
      <c r="H25" s="10" t="e">
        <f t="shared" si="0"/>
        <v>#VALUE!</v>
      </c>
    </row>
    <row r="26" spans="4:8" x14ac:dyDescent="0.25">
      <c r="D26" s="9" t="str">
        <f t="shared" si="1"/>
        <v>A</v>
      </c>
      <c r="E26" s="9">
        <v>8</v>
      </c>
      <c r="G26" s="9">
        <v>24</v>
      </c>
      <c r="H26" s="10" t="e">
        <f t="shared" si="0"/>
        <v>#VALUE!</v>
      </c>
    </row>
    <row r="27" spans="4:8" x14ac:dyDescent="0.25">
      <c r="D27" s="9" t="str">
        <f t="shared" si="1"/>
        <v>S</v>
      </c>
      <c r="E27" s="9">
        <v>7</v>
      </c>
      <c r="G27" s="9">
        <v>25</v>
      </c>
      <c r="H27" s="10" t="e">
        <f t="shared" si="0"/>
        <v>#VALUE!</v>
      </c>
    </row>
    <row r="28" spans="4:8" x14ac:dyDescent="0.25">
      <c r="D28" s="9" t="str">
        <f t="shared" si="1"/>
        <v>O</v>
      </c>
      <c r="E28" s="9">
        <v>6</v>
      </c>
      <c r="G28" s="9">
        <v>26</v>
      </c>
      <c r="H28" s="10" t="e">
        <f t="shared" si="0"/>
        <v>#VALUE!</v>
      </c>
    </row>
    <row r="29" spans="4:8" x14ac:dyDescent="0.25">
      <c r="D29" s="9" t="str">
        <f t="shared" si="1"/>
        <v>C</v>
      </c>
      <c r="E29" s="9">
        <v>5</v>
      </c>
      <c r="G29" s="9">
        <v>27</v>
      </c>
      <c r="H29" s="10" t="e">
        <f t="shared" si="0"/>
        <v>#VALUE!</v>
      </c>
    </row>
    <row r="30" spans="4:8" x14ac:dyDescent="0.25">
      <c r="D30" s="9" t="str">
        <f t="shared" si="1"/>
        <v>L</v>
      </c>
      <c r="E30" s="9">
        <v>4</v>
      </c>
      <c r="G30" s="9">
        <v>28</v>
      </c>
      <c r="H30" s="10" t="e">
        <f t="shared" si="0"/>
        <v>#VALUE!</v>
      </c>
    </row>
    <row r="31" spans="4:8" x14ac:dyDescent="0.25">
      <c r="D31" s="9" t="str">
        <f t="shared" si="1"/>
        <v>A</v>
      </c>
      <c r="E31" s="9">
        <v>3</v>
      </c>
      <c r="G31" s="9">
        <v>29</v>
      </c>
      <c r="H31" s="10" t="e">
        <f t="shared" si="0"/>
        <v>#VALUE!</v>
      </c>
    </row>
    <row r="32" spans="4:8" x14ac:dyDescent="0.25">
      <c r="D32" s="9" t="str">
        <f t="shared" si="1"/>
        <v>U</v>
      </c>
      <c r="E32" s="9">
        <v>2</v>
      </c>
      <c r="G32" s="9">
        <v>30</v>
      </c>
      <c r="H32" s="10" t="e">
        <f t="shared" si="0"/>
        <v>#VALUE!</v>
      </c>
    </row>
    <row r="33" spans="4:8" x14ac:dyDescent="0.25">
      <c r="D33" s="9" t="str">
        <f>MID($B$1,E33,1)</f>
        <v>Q</v>
      </c>
      <c r="E33" s="9">
        <v>1</v>
      </c>
      <c r="G33" s="9">
        <v>31</v>
      </c>
      <c r="H33" s="10" t="e">
        <f t="shared" si="0"/>
        <v>#VALUE!</v>
      </c>
    </row>
    <row r="34" spans="4:8" x14ac:dyDescent="0.25">
      <c r="E34" s="9"/>
    </row>
    <row r="35" spans="4:8" x14ac:dyDescent="0.25">
      <c r="E35" s="9"/>
    </row>
    <row r="36" spans="4:8" x14ac:dyDescent="0.25">
      <c r="E36" s="9"/>
    </row>
    <row r="37" spans="4:8" x14ac:dyDescent="0.25">
      <c r="E37" s="9"/>
    </row>
    <row r="38" spans="4:8" x14ac:dyDescent="0.25">
      <c r="E38" s="9"/>
    </row>
    <row r="39" spans="4:8" x14ac:dyDescent="0.25">
      <c r="E39" s="9"/>
    </row>
    <row r="40" spans="4:8" x14ac:dyDescent="0.25">
      <c r="E40" s="9"/>
    </row>
  </sheetData>
  <sortState xmlns:xlrd2="http://schemas.microsoft.com/office/spreadsheetml/2017/richdata2" ref="E2:E33">
    <sortCondition descending="1" ref="E2:E3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Interfaccia-utente</vt:lpstr>
      <vt:lpstr>Interfaccia-macchina</vt:lpstr>
      <vt:lpstr>Singola-cifra</vt:lpstr>
      <vt:lpstr>Addizione</vt:lpstr>
      <vt:lpstr>Sottrazione</vt:lpstr>
      <vt:lpstr>Moltiplicazione</vt:lpstr>
      <vt:lpstr>Conversione-valore-1</vt:lpstr>
      <vt:lpstr>Conversione-valore-2</vt:lpstr>
      <vt:lpstr>Coversione-risualtato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Masone</dc:creator>
  <cp:lastModifiedBy>Alessandro Masone</cp:lastModifiedBy>
  <dcterms:created xsi:type="dcterms:W3CDTF">2015-06-05T18:19:34Z</dcterms:created>
  <dcterms:modified xsi:type="dcterms:W3CDTF">2021-08-29T14:54:08Z</dcterms:modified>
</cp:coreProperties>
</file>